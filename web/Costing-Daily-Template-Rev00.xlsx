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Z:\1.SERVER\1. Ergo\2. Sales\1. Project\10. 2026\#Model Folder\1. Costing\"/>
    </mc:Choice>
  </mc:AlternateContent>
  <xr:revisionPtr revIDLastSave="0" documentId="13_ncr:1_{1655D2E0-D840-46EE-8951-D2DEAC27A0AD}" xr6:coauthVersionLast="47" xr6:coauthVersionMax="47" xr10:uidLastSave="{00000000-0000-0000-0000-000000000000}"/>
  <bookViews>
    <workbookView xWindow="-28920" yWindow="-120" windowWidth="29040" windowHeight="15840" firstSheet="1" activeTab="2" xr2:uid="{00000000-000D-0000-FFFF-FFFF00000000}"/>
  </bookViews>
  <sheets>
    <sheet name="Kangatang" sheetId="62" state="veryHidden" r:id="rId1"/>
    <sheet name="General" sheetId="41" r:id="rId2"/>
    <sheet name="Import" sheetId="43" r:id="rId3"/>
    <sheet name="PC" sheetId="59" r:id="rId4"/>
    <sheet name="HAD" sheetId="63" r:id="rId5"/>
    <sheet name="HAD's" sheetId="67" r:id="rId6"/>
    <sheet name="Cable Snake" sheetId="66" r:id="rId7"/>
    <sheet name="Note" sheetId="56" r:id="rId8"/>
  </sheets>
  <definedNames>
    <definedName name="_xlnm.Print_Area" localSheetId="6">'Cable Snake'!$A$1:$AH$26</definedName>
    <definedName name="_xlnm.Print_Area" localSheetId="4">HAD!$A$1:$AH$26</definedName>
    <definedName name="_xlnm.Print_Area" localSheetId="2">Import!$A$1:$AH$26</definedName>
    <definedName name="_xlnm.Print_Area" localSheetId="3">PC!$A$1:$AH$26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2" i="43" l="1"/>
  <c r="R2" i="43"/>
  <c r="K11" i="43"/>
  <c r="J11" i="43"/>
  <c r="I11" i="43"/>
  <c r="T14" i="43"/>
  <c r="V5" i="43"/>
  <c r="U5" i="43"/>
  <c r="W4" i="43"/>
  <c r="V4" i="43"/>
  <c r="H2" i="43"/>
  <c r="G16" i="67" l="1"/>
  <c r="D17" i="67" l="1"/>
  <c r="D13" i="67"/>
  <c r="G17" i="67"/>
  <c r="G15" i="67"/>
  <c r="G14" i="67"/>
  <c r="G13" i="67"/>
  <c r="F4" i="67"/>
  <c r="P18" i="66"/>
  <c r="E18" i="66"/>
  <c r="F18" i="66" s="1"/>
  <c r="D14" i="66" s="1"/>
  <c r="K14" i="66" s="1"/>
  <c r="E15" i="66"/>
  <c r="G14" i="66"/>
  <c r="I14" i="66" s="1"/>
  <c r="C4" i="66"/>
  <c r="U2" i="66"/>
  <c r="R2" i="66"/>
  <c r="J2" i="66"/>
  <c r="H2" i="66"/>
  <c r="I2" i="66" s="1"/>
  <c r="G2" i="66"/>
  <c r="Q2" i="66" s="1"/>
  <c r="H2" i="63"/>
  <c r="P18" i="63"/>
  <c r="E15" i="63"/>
  <c r="U4" i="63" s="1"/>
  <c r="K14" i="63"/>
  <c r="K15" i="63" s="1"/>
  <c r="G14" i="63"/>
  <c r="I14" i="63" s="1"/>
  <c r="C4" i="63"/>
  <c r="R2" i="63"/>
  <c r="J2" i="63"/>
  <c r="G2" i="63"/>
  <c r="Q2" i="63" s="1"/>
  <c r="D14" i="67" l="1"/>
  <c r="D16" i="67" s="1"/>
  <c r="H16" i="67" s="1"/>
  <c r="H13" i="67"/>
  <c r="H17" i="67"/>
  <c r="H14" i="67"/>
  <c r="I11" i="66"/>
  <c r="J14" i="66"/>
  <c r="Q11" i="66"/>
  <c r="P11" i="66"/>
  <c r="K15" i="66"/>
  <c r="D15" i="67"/>
  <c r="H15" i="67" s="1"/>
  <c r="V4" i="63"/>
  <c r="Q11" i="63"/>
  <c r="J14" i="63"/>
  <c r="J15" i="63" s="1"/>
  <c r="I11" i="63"/>
  <c r="P11" i="63"/>
  <c r="R5" i="63"/>
  <c r="R6" i="63" s="1"/>
  <c r="F5" i="63"/>
  <c r="U2" i="63" s="1"/>
  <c r="V2" i="63" s="1"/>
  <c r="I2" i="63"/>
  <c r="H5" i="63"/>
  <c r="G2" i="59"/>
  <c r="Q2" i="59" s="1"/>
  <c r="P18" i="59"/>
  <c r="E15" i="59"/>
  <c r="U4" i="59" s="1"/>
  <c r="V4" i="59" s="1"/>
  <c r="K14" i="59"/>
  <c r="G14" i="59"/>
  <c r="I14" i="59" s="1"/>
  <c r="V6" i="59"/>
  <c r="V5" i="59"/>
  <c r="C4" i="59"/>
  <c r="U2" i="59"/>
  <c r="R2" i="59"/>
  <c r="J2" i="59"/>
  <c r="I2" i="59"/>
  <c r="D18" i="67" l="1"/>
  <c r="H18" i="67"/>
  <c r="I16" i="67" s="1"/>
  <c r="J16" i="67" s="1"/>
  <c r="I15" i="67"/>
  <c r="J15" i="67" s="1"/>
  <c r="L15" i="67" s="1"/>
  <c r="M15" i="67" s="1"/>
  <c r="N15" i="67" s="1"/>
  <c r="I14" i="67"/>
  <c r="J14" i="67" s="1"/>
  <c r="L14" i="67" s="1"/>
  <c r="M14" i="67" s="1"/>
  <c r="I17" i="67"/>
  <c r="J17" i="67" s="1"/>
  <c r="J15" i="66"/>
  <c r="I13" i="67"/>
  <c r="J13" i="67" s="1"/>
  <c r="H5" i="66"/>
  <c r="F5" i="66"/>
  <c r="R5" i="66"/>
  <c r="R7" i="63"/>
  <c r="W14" i="63" s="1"/>
  <c r="W15" i="63" s="1"/>
  <c r="F6" i="63"/>
  <c r="F7" i="63" s="1"/>
  <c r="L14" i="63" s="1"/>
  <c r="H6" i="63"/>
  <c r="H7" i="63" s="1"/>
  <c r="I11" i="59"/>
  <c r="J14" i="59"/>
  <c r="P11" i="59"/>
  <c r="Q11" i="59"/>
  <c r="K15" i="59"/>
  <c r="K16" i="67" l="1"/>
  <c r="L16" i="67"/>
  <c r="M16" i="67" s="1"/>
  <c r="N16" i="67" s="1"/>
  <c r="O16" i="67" s="1"/>
  <c r="N14" i="67"/>
  <c r="O14" i="67" s="1"/>
  <c r="AJ14" i="63"/>
  <c r="K14" i="67"/>
  <c r="K15" i="67"/>
  <c r="O15" i="67" s="1"/>
  <c r="R6" i="66"/>
  <c r="R7" i="66"/>
  <c r="W14" i="66" s="1"/>
  <c r="W15" i="66" s="1"/>
  <c r="L13" i="67"/>
  <c r="M13" i="67" s="1"/>
  <c r="K13" i="67"/>
  <c r="F6" i="66"/>
  <c r="F7" i="66"/>
  <c r="L14" i="66" s="1"/>
  <c r="H6" i="66"/>
  <c r="H7" i="66" s="1"/>
  <c r="N14" i="66" s="1"/>
  <c r="N15" i="66" s="1"/>
  <c r="K17" i="67"/>
  <c r="L17" i="67"/>
  <c r="M17" i="67" s="1"/>
  <c r="N14" i="63"/>
  <c r="N15" i="63" s="1"/>
  <c r="L15" i="63"/>
  <c r="M16" i="63" s="1"/>
  <c r="M14" i="63"/>
  <c r="R5" i="59"/>
  <c r="F5" i="59"/>
  <c r="H5" i="59"/>
  <c r="J15" i="59"/>
  <c r="K18" i="67" l="1"/>
  <c r="N13" i="67"/>
  <c r="AI14" i="63"/>
  <c r="N17" i="67"/>
  <c r="O17" i="67" s="1"/>
  <c r="AL14" i="63"/>
  <c r="L15" i="66"/>
  <c r="M16" i="66" s="1"/>
  <c r="M14" i="66"/>
  <c r="O13" i="67"/>
  <c r="M15" i="63"/>
  <c r="O14" i="63"/>
  <c r="O15" i="63" s="1"/>
  <c r="H6" i="59"/>
  <c r="H7" i="59" s="1"/>
  <c r="N14" i="59" s="1"/>
  <c r="N15" i="59" s="1"/>
  <c r="F6" i="59"/>
  <c r="F7" i="59" s="1"/>
  <c r="L14" i="59" s="1"/>
  <c r="R6" i="59"/>
  <c r="R7" i="59" s="1"/>
  <c r="W14" i="59" s="1"/>
  <c r="W15" i="59" s="1"/>
  <c r="N18" i="67" l="1"/>
  <c r="O18" i="67" s="1"/>
  <c r="M15" i="66"/>
  <c r="O14" i="66"/>
  <c r="O15" i="66" s="1"/>
  <c r="P14" i="63"/>
  <c r="P15" i="63" s="1"/>
  <c r="P16" i="63"/>
  <c r="R16" i="63"/>
  <c r="L15" i="59"/>
  <c r="M16" i="59" s="1"/>
  <c r="M14" i="59"/>
  <c r="P14" i="66" l="1"/>
  <c r="R16" i="66"/>
  <c r="P16" i="66"/>
  <c r="R14" i="63"/>
  <c r="T14" i="63" s="1"/>
  <c r="M15" i="59"/>
  <c r="O14" i="59"/>
  <c r="O15" i="59" s="1"/>
  <c r="P15" i="66" l="1"/>
  <c r="R14" i="66"/>
  <c r="R15" i="63"/>
  <c r="T15" i="63"/>
  <c r="I19" i="63" s="1"/>
  <c r="P19" i="63" s="1"/>
  <c r="V14" i="63"/>
  <c r="P14" i="59"/>
  <c r="P16" i="59"/>
  <c r="R16" i="59"/>
  <c r="R15" i="66" l="1"/>
  <c r="T14" i="66"/>
  <c r="V15" i="63"/>
  <c r="I20" i="63" s="1"/>
  <c r="P20" i="63" s="1"/>
  <c r="X14" i="63"/>
  <c r="R14" i="59"/>
  <c r="P15" i="59"/>
  <c r="V14" i="66" l="1"/>
  <c r="T15" i="66"/>
  <c r="I19" i="66" s="1"/>
  <c r="P19" i="66" s="1"/>
  <c r="X15" i="63"/>
  <c r="Y14" i="63"/>
  <c r="I21" i="63"/>
  <c r="P21" i="63" s="1"/>
  <c r="P22" i="63" s="1"/>
  <c r="X16" i="63"/>
  <c r="X17" i="63" s="1"/>
  <c r="R15" i="59"/>
  <c r="T14" i="59"/>
  <c r="V15" i="66" l="1"/>
  <c r="X14" i="66"/>
  <c r="AM14" i="63"/>
  <c r="Y15" i="63"/>
  <c r="AA14" i="63"/>
  <c r="AB14" i="63" s="1"/>
  <c r="Z14" i="63"/>
  <c r="Z15" i="63" s="1"/>
  <c r="T15" i="59"/>
  <c r="I19" i="59" s="1"/>
  <c r="P19" i="59" s="1"/>
  <c r="V14" i="59"/>
  <c r="V15" i="59" s="1"/>
  <c r="I20" i="59" s="1"/>
  <c r="P20" i="59" s="1"/>
  <c r="X14" i="59"/>
  <c r="X15" i="66" l="1"/>
  <c r="Y14" i="66"/>
  <c r="I20" i="66"/>
  <c r="X16" i="66"/>
  <c r="X17" i="66" s="1"/>
  <c r="AC14" i="63"/>
  <c r="AH14" i="63"/>
  <c r="Z16" i="63"/>
  <c r="Z17" i="63" s="1"/>
  <c r="X15" i="59"/>
  <c r="Y14" i="59"/>
  <c r="I21" i="59"/>
  <c r="P21" i="59" s="1"/>
  <c r="P22" i="59" s="1"/>
  <c r="X16" i="59"/>
  <c r="X17" i="59" s="1"/>
  <c r="P20" i="66" l="1"/>
  <c r="I21" i="66"/>
  <c r="P21" i="66" s="1"/>
  <c r="AA14" i="66"/>
  <c r="AB14" i="66" s="1"/>
  <c r="Z14" i="66"/>
  <c r="Z15" i="66" s="1"/>
  <c r="Y15" i="66"/>
  <c r="AF14" i="63"/>
  <c r="AF15" i="63" s="1"/>
  <c r="T19" i="63" s="1"/>
  <c r="AC15" i="63"/>
  <c r="AD14" i="63"/>
  <c r="Y15" i="59"/>
  <c r="AA14" i="59"/>
  <c r="AB14" i="59" s="1"/>
  <c r="Z14" i="59"/>
  <c r="Z15" i="59" s="1"/>
  <c r="Z16" i="66" l="1"/>
  <c r="Z17" i="66" s="1"/>
  <c r="AH14" i="66"/>
  <c r="AK14" i="63" s="1"/>
  <c r="AN14" i="63" s="1"/>
  <c r="AO14" i="63" s="1"/>
  <c r="AC14" i="66"/>
  <c r="P22" i="66"/>
  <c r="AD15" i="63"/>
  <c r="AG14" i="63"/>
  <c r="AG15" i="63" s="1"/>
  <c r="AD16" i="63"/>
  <c r="T18" i="63" s="1"/>
  <c r="T20" i="63"/>
  <c r="AE14" i="63"/>
  <c r="AE15" i="63" s="1"/>
  <c r="AH14" i="59"/>
  <c r="AC14" i="59"/>
  <c r="Z16" i="59"/>
  <c r="Z17" i="59" s="1"/>
  <c r="AC15" i="66" l="1"/>
  <c r="AD14" i="66"/>
  <c r="AF14" i="66"/>
  <c r="AF15" i="66" s="1"/>
  <c r="T19" i="66" s="1"/>
  <c r="T23" i="63"/>
  <c r="T24" i="63" s="1"/>
  <c r="T25" i="63" s="1"/>
  <c r="T21" i="63"/>
  <c r="AG16" i="63"/>
  <c r="P25" i="63"/>
  <c r="P26" i="63" s="1"/>
  <c r="AF14" i="59"/>
  <c r="AF15" i="59" s="1"/>
  <c r="T19" i="59" s="1"/>
  <c r="AC15" i="59"/>
  <c r="AD14" i="59"/>
  <c r="AE14" i="59" s="1"/>
  <c r="AE15" i="59" s="1"/>
  <c r="AD15" i="66" l="1"/>
  <c r="AG14" i="66"/>
  <c r="AG15" i="66" s="1"/>
  <c r="T20" i="66"/>
  <c r="AD16" i="66"/>
  <c r="T18" i="66" s="1"/>
  <c r="AE14" i="66"/>
  <c r="AE15" i="66" s="1"/>
  <c r="AD15" i="59"/>
  <c r="AG14" i="59"/>
  <c r="AG15" i="59" s="1"/>
  <c r="AD16" i="59"/>
  <c r="T18" i="59" s="1"/>
  <c r="T20" i="59"/>
  <c r="AG16" i="66" l="1"/>
  <c r="P25" i="66"/>
  <c r="P26" i="66" s="1"/>
  <c r="T23" i="66"/>
  <c r="T24" i="66" s="1"/>
  <c r="T25" i="66" s="1"/>
  <c r="T21" i="66"/>
  <c r="T23" i="59"/>
  <c r="T24" i="59" s="1"/>
  <c r="T25" i="59" s="1"/>
  <c r="T21" i="59"/>
  <c r="P25" i="59"/>
  <c r="P26" i="59" s="1"/>
  <c r="AG16" i="59"/>
  <c r="K14" i="43" l="1"/>
  <c r="J2" i="43"/>
  <c r="I2" i="43"/>
  <c r="P18" i="43" l="1"/>
  <c r="E2" i="41"/>
  <c r="E15" i="43"/>
  <c r="G14" i="43"/>
  <c r="I14" i="43" s="1"/>
  <c r="J14" i="43" s="1"/>
  <c r="J15" i="43" l="1"/>
  <c r="K15" i="43"/>
  <c r="R5" i="43" s="1"/>
  <c r="R6" i="43" s="1"/>
  <c r="P11" i="43"/>
  <c r="Q11" i="43"/>
  <c r="E7" i="41"/>
  <c r="C4" i="43"/>
  <c r="G2" i="43"/>
  <c r="Q2" i="43" s="1"/>
  <c r="E6" i="41"/>
  <c r="H5" i="43" l="1"/>
  <c r="F5" i="43" l="1"/>
  <c r="F6" i="43" l="1"/>
  <c r="F7" i="43" s="1"/>
  <c r="L14" i="43" s="1"/>
  <c r="M14" i="43" s="1"/>
  <c r="H6" i="43"/>
  <c r="H7" i="43" s="1"/>
  <c r="N14" i="43" s="1"/>
  <c r="R7" i="43"/>
  <c r="W14" i="43" l="1"/>
  <c r="W15" i="43" s="1"/>
  <c r="M15" i="43" l="1"/>
  <c r="O14" i="43"/>
  <c r="P14" i="43" s="1"/>
  <c r="R14" i="43" s="1"/>
  <c r="L15" i="43"/>
  <c r="N15" i="43"/>
  <c r="O15" i="43" l="1"/>
  <c r="R16" i="43" s="1"/>
  <c r="M16" i="43"/>
  <c r="T15" i="43" l="1"/>
  <c r="R15" i="43"/>
  <c r="P16" i="43"/>
  <c r="P15" i="43"/>
  <c r="V14" i="43" l="1"/>
  <c r="X14" i="43" s="1"/>
  <c r="X15" i="43" l="1"/>
  <c r="I19" i="43"/>
  <c r="V15" i="43" l="1"/>
  <c r="Y14" i="43"/>
  <c r="Y15" i="43" s="1"/>
  <c r="D5" i="41"/>
  <c r="P19" i="43"/>
  <c r="I20" i="43" l="1"/>
  <c r="P20" i="43" s="1"/>
  <c r="X16" i="43"/>
  <c r="X17" i="43" s="1"/>
  <c r="E5" i="41"/>
  <c r="E9" i="41" s="1"/>
  <c r="AA14" i="43"/>
  <c r="AB14" i="43" s="1"/>
  <c r="Z14" i="43"/>
  <c r="Z15" i="43" s="1"/>
  <c r="Z16" i="43"/>
  <c r="Z17" i="43" s="1"/>
  <c r="I21" i="43" l="1"/>
  <c r="P21" i="43" s="1"/>
  <c r="P22" i="43" s="1"/>
  <c r="AH14" i="43"/>
  <c r="E10" i="41" s="1"/>
  <c r="AC14" i="43" l="1"/>
  <c r="AC15" i="43" s="1"/>
  <c r="AD16" i="43" s="1"/>
  <c r="T18" i="43" s="1"/>
  <c r="E11" i="41"/>
  <c r="AF14" i="43" l="1"/>
  <c r="AF15" i="43" s="1"/>
  <c r="T19" i="43" s="1"/>
  <c r="T20" i="43" s="1"/>
  <c r="AD14" i="43"/>
  <c r="AD15" i="43" s="1"/>
  <c r="AG14" i="43" l="1"/>
  <c r="AG15" i="43" s="1"/>
  <c r="P25" i="43" s="1"/>
  <c r="P26" i="43" s="1"/>
  <c r="AE14" i="43"/>
  <c r="AE15" i="43" s="1"/>
  <c r="T21" i="43"/>
  <c r="T23" i="43"/>
  <c r="T24" i="43" s="1"/>
  <c r="T25" i="43" s="1"/>
  <c r="AG16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Trung Hieu</author>
    <author>Windows User</author>
  </authors>
  <commentList>
    <comment ref="T9" authorId="0" shapeId="0" xr:uid="{00000000-0006-0000-0400-000001000000}">
      <text>
        <r>
          <rPr>
            <b/>
            <sz val="10"/>
            <color indexed="81"/>
            <rFont val="Tahoma"/>
            <family val="2"/>
          </rPr>
          <t>Nguyen Trung Hieu:</t>
        </r>
        <r>
          <rPr>
            <sz val="10"/>
            <color indexed="81"/>
            <rFont val="Tahoma"/>
            <family val="2"/>
          </rPr>
          <t xml:space="preserve">
FILL YOUR EXPECTED MARGIN HERE
</t>
        </r>
      </text>
    </comment>
    <comment ref="Q13" authorId="1" shapeId="0" xr:uid="{00000000-0006-0000-04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S13" authorId="1" shapeId="0" xr:uid="{00000000-0006-0000-04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U13" authorId="1" shapeId="0" xr:uid="{00000000-0006-0000-04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Trung Hieu</author>
    <author>Windows User</author>
  </authors>
  <commentList>
    <comment ref="T9" authorId="0" shapeId="0" xr:uid="{00000000-0006-0000-0300-000001000000}">
      <text>
        <r>
          <rPr>
            <b/>
            <sz val="10"/>
            <color indexed="81"/>
            <rFont val="Tahoma"/>
            <family val="2"/>
          </rPr>
          <t>Nguyen Trung Hieu:</t>
        </r>
        <r>
          <rPr>
            <sz val="10"/>
            <color indexed="81"/>
            <rFont val="Tahoma"/>
            <family val="2"/>
          </rPr>
          <t xml:space="preserve">
FILL YOUR EXPECTED MARGIN HERE
</t>
        </r>
      </text>
    </comment>
    <comment ref="Q13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S13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U13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Trung Hieu</author>
    <author>Windows User</author>
  </authors>
  <commentList>
    <comment ref="T9" authorId="0" shapeId="0" xr:uid="{6A811D7F-C740-40F4-B315-C5A092ECF763}">
      <text>
        <r>
          <rPr>
            <b/>
            <sz val="10"/>
            <color indexed="81"/>
            <rFont val="Tahoma"/>
            <family val="2"/>
          </rPr>
          <t>Nguyen Trung Hieu:</t>
        </r>
        <r>
          <rPr>
            <sz val="10"/>
            <color indexed="81"/>
            <rFont val="Tahoma"/>
            <family val="2"/>
          </rPr>
          <t xml:space="preserve">
FILL YOUR EXPECTED MARGIN HERE
</t>
        </r>
      </text>
    </comment>
    <comment ref="Q13" authorId="1" shapeId="0" xr:uid="{A0CEB20A-A39D-4215-BE19-08A8F386EA4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S13" authorId="1" shapeId="0" xr:uid="{6F0D8B1B-70EA-42D1-A7B3-D58B70FCF817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U13" authorId="1" shapeId="0" xr:uid="{7767CE1A-17EC-4135-A472-E0BE61FC9781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Nguyen Trung Hieu</author>
    <author>Windows User</author>
  </authors>
  <commentList>
    <comment ref="T9" authorId="0" shapeId="0" xr:uid="{6E55C0C1-F94F-4C6B-AAA0-6CDD61D50E8C}">
      <text>
        <r>
          <rPr>
            <b/>
            <sz val="10"/>
            <color indexed="81"/>
            <rFont val="Tahoma"/>
            <family val="2"/>
          </rPr>
          <t>Nguyen Trung Hieu:</t>
        </r>
        <r>
          <rPr>
            <sz val="10"/>
            <color indexed="81"/>
            <rFont val="Tahoma"/>
            <family val="2"/>
          </rPr>
          <t xml:space="preserve">
FILL YOUR EXPECTED MARGIN HERE
</t>
        </r>
      </text>
    </comment>
    <comment ref="Q13" authorId="1" shapeId="0" xr:uid="{799DE374-1B1B-4644-A804-F4F297A57199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S13" authorId="1" shapeId="0" xr:uid="{7E0D78E1-09BE-4DC9-90D6-DD314AC03CBE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  <comment ref="U13" authorId="1" shapeId="0" xr:uid="{FECA43BD-2AB6-4D73-940C-53CB1371209D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CO form E
</t>
        </r>
      </text>
    </comment>
  </commentList>
</comments>
</file>

<file path=xl/sharedStrings.xml><?xml version="1.0" encoding="utf-8"?>
<sst xmlns="http://schemas.openxmlformats.org/spreadsheetml/2006/main" count="464" uniqueCount="183">
  <si>
    <t>FREIGHT</t>
  </si>
  <si>
    <t>CLEARANCE &amp; DELIVERY</t>
  </si>
  <si>
    <t>FLAT FEE</t>
  </si>
  <si>
    <t>DATE:</t>
  </si>
  <si>
    <t>RATE/CBM</t>
  </si>
  <si>
    <t xml:space="preserve">PRICE LIST: </t>
  </si>
  <si>
    <t>TOTAL CBM</t>
  </si>
  <si>
    <t>TOTAL CHARGE</t>
  </si>
  <si>
    <t>COST/CBM</t>
  </si>
  <si>
    <t>CURRENCY:</t>
  </si>
  <si>
    <t>USD</t>
  </si>
  <si>
    <t>RATE ON CNF</t>
  </si>
  <si>
    <t>DRIVEN MARGIN</t>
  </si>
  <si>
    <t>SUPPLIER:</t>
  </si>
  <si>
    <t>EXCHANGE RATE:</t>
  </si>
  <si>
    <t>DELIVERY TERMS OF PURCHASES</t>
  </si>
  <si>
    <t>DELIVERY TERMS OF SALES</t>
  </si>
  <si>
    <t>DRIVEN MARGIN METHOD</t>
  </si>
  <si>
    <t>DRIVEN MARKET METHOD</t>
  </si>
  <si>
    <t>DESCRIPTION</t>
  </si>
  <si>
    <t>STYLE NO.</t>
  </si>
  <si>
    <t>DIM (CBM)</t>
  </si>
  <si>
    <t>QTY</t>
  </si>
  <si>
    <t>FOB UNIT COST</t>
  </si>
  <si>
    <t>CONVERTED UNIT COST (USD)</t>
  </si>
  <si>
    <t>% discounted</t>
  </si>
  <si>
    <t>DISCOUNTED FOB</t>
  </si>
  <si>
    <t>TTL FOB</t>
  </si>
  <si>
    <t>TTL DIM (CBM)</t>
  </si>
  <si>
    <t>HAULAGE FEE</t>
  </si>
  <si>
    <t>TTL FREIGHT</t>
  </si>
  <si>
    <t>INS</t>
  </si>
  <si>
    <t>IMPORT DUTY RATE</t>
  </si>
  <si>
    <t>IMPORT DUTY</t>
  </si>
  <si>
    <t>TO WHS COST</t>
  </si>
  <si>
    <t>SALES PRICE</t>
  </si>
  <si>
    <t>TOTAL  G/P</t>
  </si>
  <si>
    <t>D2D UNIT PRICE</t>
  </si>
  <si>
    <t>TOTAL G/P</t>
  </si>
  <si>
    <t>ALTERNATIVE MARGIN</t>
  </si>
  <si>
    <t>CROSS  CHECK</t>
  </si>
  <si>
    <t>NET G/P</t>
  </si>
  <si>
    <t>NET MARGIN</t>
  </si>
  <si>
    <t>GP after Consultant fee</t>
  </si>
  <si>
    <t>Margin</t>
  </si>
  <si>
    <t>CAF</t>
  </si>
  <si>
    <t>NET GP</t>
  </si>
  <si>
    <t>Consultant fee</t>
  </si>
  <si>
    <t>FCL COSTING SHEET</t>
  </si>
  <si>
    <t>Ergo COST</t>
  </si>
  <si>
    <t>Ergo G/P</t>
  </si>
  <si>
    <t>Ergo MARGIN</t>
  </si>
  <si>
    <t>Ergo TAX</t>
  </si>
  <si>
    <t xml:space="preserve"> </t>
  </si>
  <si>
    <t>TOTAL COST</t>
  </si>
  <si>
    <t xml:space="preserve">No </t>
  </si>
  <si>
    <t xml:space="preserve">Desription </t>
  </si>
  <si>
    <t xml:space="preserve">Quanity </t>
  </si>
  <si>
    <t xml:space="preserve">Unit Price </t>
  </si>
  <si>
    <t xml:space="preserve">Total </t>
  </si>
  <si>
    <t xml:space="preserve">Prelim Estimation </t>
  </si>
  <si>
    <t>TOTAL REVENUE</t>
  </si>
  <si>
    <t>GENERAL GP</t>
  </si>
  <si>
    <t>Project:</t>
  </si>
  <si>
    <t>Exchange Rate:</t>
  </si>
  <si>
    <t>Deliver</t>
  </si>
  <si>
    <t>Warehouse</t>
  </si>
  <si>
    <t>Delivery:</t>
  </si>
  <si>
    <t>Installation:</t>
  </si>
  <si>
    <t>GP</t>
  </si>
  <si>
    <t>D2D HCMC</t>
  </si>
  <si>
    <t>UNIT PRICE
(VND)</t>
  </si>
  <si>
    <t>AFTER DIS UNIT PRICE 
(VND)</t>
  </si>
  <si>
    <t>AFTER DIS TOTAL PRICE 
(VND)</t>
  </si>
  <si>
    <t>DELIVERY &amp; INSTALL FEE</t>
  </si>
  <si>
    <t xml:space="preserve"> UNIT COST</t>
  </si>
  <si>
    <t>TOTAL FOR SALES</t>
  </si>
  <si>
    <t>TOTAL</t>
  </si>
  <si>
    <t>Discount</t>
  </si>
  <si>
    <t>COSTING SHEET</t>
  </si>
  <si>
    <t>IMAGE</t>
  </si>
  <si>
    <t>HUMANSCALE</t>
  </si>
  <si>
    <t>PROJECT: ABC</t>
  </si>
  <si>
    <t>Import tax</t>
  </si>
  <si>
    <t>CBPG tax</t>
  </si>
  <si>
    <t>VAT tax</t>
  </si>
  <si>
    <t>Clearance</t>
  </si>
  <si>
    <t>CBM</t>
  </si>
  <si>
    <t>Pricelist</t>
  </si>
  <si>
    <t>CIF</t>
  </si>
  <si>
    <t>% Partner'S MARIN</t>
  </si>
  <si>
    <t>CIF TO Ergo</t>
  </si>
  <si>
    <t>HAULAGE + CO fee</t>
  </si>
  <si>
    <t>Load / Install</t>
  </si>
  <si>
    <t>Prelim</t>
  </si>
  <si>
    <t>Sheet A</t>
  </si>
  <si>
    <t>Sheet B</t>
  </si>
  <si>
    <t>LOCAL</t>
  </si>
  <si>
    <t>Local charge</t>
  </si>
  <si>
    <t>CBPG 
RATE</t>
  </si>
  <si>
    <t>CBPG 
DUTY</t>
  </si>
  <si>
    <t>D2D HCM / HN</t>
  </si>
  <si>
    <t>EXW china</t>
  </si>
  <si>
    <t xml:space="preserve">CÁC LƯU Ý KHI LÀM COSTING </t>
  </si>
  <si>
    <t>STT</t>
  </si>
  <si>
    <t>STEP</t>
  </si>
  <si>
    <t>NOTE</t>
  </si>
  <si>
    <t>LINK</t>
  </si>
  <si>
    <t>- HS website (APAC)
- Partners trên server 
- PO cũ 
- Hỏi shipper (nếu sản phẩm lạ / pricelist-PO cũ hơn 6 tháng)</t>
  </si>
  <si>
    <t>Z:\5. Partners</t>
  </si>
  <si>
    <t>Logistics cost</t>
  </si>
  <si>
    <t>Check thêm với shipper</t>
  </si>
  <si>
    <t>- Leadtime (nếu sản phẩm lạ)</t>
  </si>
  <si>
    <t>CBPG tax (China only)</t>
  </si>
  <si>
    <t>Shipping method</t>
  </si>
  <si>
    <t>Delivery cost
(Cát Lái - HCM)</t>
  </si>
  <si>
    <t>Xin báo giá Shipper mới</t>
  </si>
  <si>
    <t>- Sản phẩm
- Số lượng
- Giá EXW (đơn vị tiền)
- Leadtime 
- Bảo hành 
- Nước sản xuất 
- Có làm đc CO không</t>
  </si>
  <si>
    <t>Z:\1. Ergo\4. SA Team\8. Logistic
Z:\1.SERVER\1. Ergo\4. SA Team\8. Logistic\Báo giá FWD</t>
  </si>
  <si>
    <t>- File Tổng hợp chi phí Logistics 
- Folder Báo giá FWD
- Hỏi báo giá FWD (nếu tuyến lạ)</t>
  </si>
  <si>
    <t>LCL</t>
  </si>
  <si>
    <t>PROJECT: DIGIWORLD</t>
  </si>
  <si>
    <t>CONT 20</t>
  </si>
  <si>
    <t xml:space="preserve">DAEHA </t>
  </si>
  <si>
    <t>EXW KOREA</t>
  </si>
  <si>
    <t>HUMBLE-HB (BLACK FRAME)
Humble Highback Chair in Black Frame; Height
Adjustable Armrest; Synchron Mechanism with Seat
Depth Adjustment. Nylon Base on Castors</t>
  </si>
  <si>
    <t>- Cinto: 65%
- Standard: 70%
- Applied cao hơn: xin tuỳ dự án, số lượng</t>
  </si>
  <si>
    <t>Ghế: 21.4%
- Chiều cao mặt đất lên mặt ngồi &gt; 450mm
- Chân không phải là chân nhôm</t>
  </si>
  <si>
    <t xml:space="preserve">chân nhựa / chân chrome: bị
chân aluminum (nhôm): không bị 
chiều cao mặt ngồi: &lt;450mm sofa / ghế training: không bị, stool cao quầy bar &gt; 670mm: không bị
&gt;450mm: đa số là ghế làm việc: bị </t>
  </si>
  <si>
    <t>1-12</t>
  </si>
  <si>
    <t>300-350</t>
  </si>
  <si>
    <t>10-12</t>
  </si>
  <si>
    <t>350-450-550</t>
  </si>
  <si>
    <r>
      <rPr>
        <b/>
        <sz val="11"/>
        <rFont val="Arial"/>
        <family val="2"/>
      </rPr>
      <t xml:space="preserve">ISOR42186EF (Cluster of 2)
H-Frame with eFloat Go 2.0
</t>
    </r>
    <r>
      <rPr>
        <sz val="11"/>
        <rFont val="Arial"/>
        <family val="2"/>
      </rPr>
      <t>Frame: White
Shared lower cable tray
Clamp for panel
Accommodates worksurfaces 1220 - 1830mm
Simple installation
Digital programmable handset with USD charging</t>
    </r>
  </si>
  <si>
    <t>PROJECT: MARVELL</t>
  </si>
  <si>
    <t>LUMI</t>
  </si>
  <si>
    <r>
      <rPr>
        <b/>
        <sz val="11"/>
        <rFont val="Arial"/>
        <family val="2"/>
      </rPr>
      <t xml:space="preserve">CC10-15
Cost-Effective Screw-Mounted Cable Management Spine
</t>
    </r>
    <r>
      <rPr>
        <sz val="11"/>
        <rFont val="Arial"/>
        <family val="2"/>
      </rPr>
      <t>Material:	ABS,Steel
Surface Finish: Powder Coating
Dimensions: 99.4x99.4x1297mm (3.9"x3.9"x51.1")
Joints: 35
Installation: Screw Fixation
Color: White,Black,Silver</t>
    </r>
  </si>
  <si>
    <t>https://www.lumi.cn/en/lumi-ergo/office-accessories/cable-management/cc10-15</t>
  </si>
  <si>
    <t>PROJECT: MSD HCM P2</t>
  </si>
  <si>
    <t>TAV</t>
  </si>
  <si>
    <t>Table top 
MFC 25mm
1500x700x25mm
scallop for cable management</t>
  </si>
  <si>
    <t>Cable Tray
Customized dimension</t>
  </si>
  <si>
    <t>Toàn Thắng</t>
  </si>
  <si>
    <t>Cable Snake</t>
  </si>
  <si>
    <t>Thuý Nhi/ Ergolife / Nhập</t>
  </si>
  <si>
    <t>Shared Panel (TAV)
Vách ngăn okal bọc nỉ không ghim
1500x760x20</t>
  </si>
  <si>
    <t>OTE</t>
  </si>
  <si>
    <t>TABLE TOP</t>
  </si>
  <si>
    <t>CABLE TRAY</t>
  </si>
  <si>
    <t>CABLE SNAKE</t>
  </si>
  <si>
    <t>PANEL</t>
  </si>
  <si>
    <t>SUM</t>
  </si>
  <si>
    <t>Flipper</t>
  </si>
  <si>
    <t>EXW China</t>
  </si>
  <si>
    <r>
      <t xml:space="preserve">1. Lưu ý </t>
    </r>
    <r>
      <rPr>
        <b/>
        <sz val="11"/>
        <color rgb="FFFF0000"/>
        <rFont val="Calibri Light"/>
        <family val="2"/>
      </rPr>
      <t>thời điểm</t>
    </r>
    <r>
      <rPr>
        <sz val="11"/>
        <color theme="1"/>
        <rFont val="Calibri Light"/>
        <family val="2"/>
      </rPr>
      <t xml:space="preserve"> bàn giao </t>
    </r>
    <r>
      <rPr>
        <b/>
        <sz val="11"/>
        <color rgb="FFFF0000"/>
        <rFont val="Calibri Light"/>
        <family val="2"/>
      </rPr>
      <t>dự án</t>
    </r>
    <r>
      <rPr>
        <sz val="11"/>
        <color theme="1"/>
        <rFont val="Calibri Light"/>
        <family val="2"/>
      </rPr>
      <t xml:space="preserve"> để ước tính tỷ giá, chi phí đội giá … 
2. Cần mua </t>
    </r>
    <r>
      <rPr>
        <b/>
        <sz val="11"/>
        <color rgb="FFFF0000"/>
        <rFont val="Calibri Light"/>
        <family val="2"/>
      </rPr>
      <t>bảo hiểm</t>
    </r>
    <r>
      <rPr>
        <sz val="11"/>
        <color theme="1"/>
        <rFont val="Calibri Light"/>
        <family val="2"/>
      </rPr>
      <t xml:space="preserve"> cho các chuyến tàu giá trị cao / thời gian vận chuyển dài 
3. Costing cho dự án ở </t>
    </r>
    <r>
      <rPr>
        <b/>
        <sz val="11"/>
        <color rgb="FFFF0000"/>
        <rFont val="Calibri Light"/>
        <family val="2"/>
      </rPr>
      <t xml:space="preserve">Hà Nội </t>
    </r>
    <r>
      <rPr>
        <sz val="11"/>
        <color theme="1"/>
        <rFont val="Calibri Light"/>
        <family val="2"/>
      </rPr>
      <t xml:space="preserve">nên để </t>
    </r>
    <r>
      <rPr>
        <b/>
        <sz val="11"/>
        <color rgb="FFFF0000"/>
        <rFont val="Calibri Light"/>
        <family val="2"/>
      </rPr>
      <t xml:space="preserve"> x1.5 </t>
    </r>
    <r>
      <rPr>
        <sz val="11"/>
        <color theme="1"/>
        <rFont val="Calibri Light"/>
        <family val="2"/>
      </rPr>
      <t>lần</t>
    </r>
    <r>
      <rPr>
        <b/>
        <sz val="11"/>
        <color rgb="FFFF0000"/>
        <rFont val="Calibri Light"/>
        <family val="2"/>
      </rPr>
      <t xml:space="preserve"> </t>
    </r>
    <r>
      <rPr>
        <sz val="11"/>
        <color theme="1"/>
        <rFont val="Calibri Light"/>
        <family val="2"/>
      </rPr>
      <t>HCM</t>
    </r>
    <r>
      <rPr>
        <b/>
        <sz val="11"/>
        <color rgb="FFFF0000"/>
        <rFont val="Calibri Light"/>
        <family val="2"/>
      </rPr>
      <t xml:space="preserve"> </t>
    </r>
    <r>
      <rPr>
        <sz val="11"/>
        <color theme="1"/>
        <rFont val="Calibri Light"/>
        <family val="2"/>
      </rPr>
      <t xml:space="preserve">
4. Để ý </t>
    </r>
    <r>
      <rPr>
        <b/>
        <sz val="11"/>
        <color rgb="FFFF0000"/>
        <rFont val="Calibri Light"/>
        <family val="2"/>
      </rPr>
      <t>địa điểm giao hàng</t>
    </r>
    <r>
      <rPr>
        <sz val="11"/>
        <color theme="1"/>
        <rFont val="Calibri Light"/>
        <family val="2"/>
      </rPr>
      <t xml:space="preserve">, ở tỉnh, đi xa hơn ngoài nội thành ... để tính chi phí delivery cho phù hợp
5. Dự trù các </t>
    </r>
    <r>
      <rPr>
        <b/>
        <sz val="11"/>
        <color rgb="FFFF0000"/>
        <rFont val="Calibri Light"/>
        <family val="2"/>
      </rPr>
      <t>phương án xấu nhất</t>
    </r>
    <r>
      <rPr>
        <sz val="11"/>
        <color theme="1"/>
        <rFont val="Calibri Light"/>
        <family val="2"/>
      </rPr>
      <t xml:space="preserve"> có thể xảy ra: giá tăng, kiểm hóa, chi hải quan, chi ngoài bảo vệ, ba gác, chi phí công trình, hư hỏng … </t>
    </r>
  </si>
  <si>
    <r>
      <rPr>
        <b/>
        <sz val="11"/>
        <color theme="1"/>
        <rFont val="Calibri Light"/>
        <family val="2"/>
      </rPr>
      <t>Standard</t>
    </r>
    <r>
      <rPr>
        <sz val="11"/>
        <rFont val="Calibri Light"/>
        <family val="2"/>
      </rPr>
      <t xml:space="preserve">
- Ghế văn phòng: 0.25 - 0.3
- Bàn: (HxWxD)/3
- Phụ kiện: 0.1</t>
    </r>
  </si>
  <si>
    <r>
      <rPr>
        <b/>
        <sz val="11"/>
        <color theme="1"/>
        <rFont val="Calibri Light"/>
        <family val="2"/>
      </rPr>
      <t xml:space="preserve">Chính xác hơn: </t>
    </r>
    <r>
      <rPr>
        <sz val="11"/>
        <rFont val="Calibri Light"/>
        <family val="2"/>
      </rPr>
      <t xml:space="preserve">
- PO cũ 
- Xem số lượng / container trên báo giá 
- Check với shipper </t>
    </r>
  </si>
  <si>
    <r>
      <rPr>
        <b/>
        <sz val="11"/>
        <color theme="1"/>
        <rFont val="Calibri Light"/>
        <family val="2"/>
      </rPr>
      <t>Malay: CO Form D</t>
    </r>
    <r>
      <rPr>
        <sz val="11"/>
        <color theme="1"/>
        <rFont val="Calibri Light"/>
        <family val="2"/>
      </rPr>
      <t xml:space="preserve">
- Toàn bộ sản phẩm: 0%</t>
    </r>
  </si>
  <si>
    <r>
      <rPr>
        <b/>
        <sz val="11"/>
        <color theme="1"/>
        <rFont val="Calibri Light"/>
        <family val="2"/>
      </rPr>
      <t>Australia: AANZ</t>
    </r>
    <r>
      <rPr>
        <sz val="11"/>
        <color theme="1"/>
        <rFont val="Calibri Light"/>
        <family val="2"/>
      </rPr>
      <t xml:space="preserve">
- Tùy sản phẩm: 0-7%</t>
    </r>
  </si>
  <si>
    <r>
      <rPr>
        <b/>
        <sz val="11"/>
        <color theme="1"/>
        <rFont val="Calibri Light"/>
        <family val="2"/>
      </rPr>
      <t xml:space="preserve">EU: REX code </t>
    </r>
    <r>
      <rPr>
        <sz val="11"/>
        <color theme="1"/>
        <rFont val="Calibri Light"/>
        <family val="2"/>
      </rPr>
      <t xml:space="preserve">
- Tùy sản phẩm: 0-12.5%</t>
    </r>
  </si>
  <si>
    <r>
      <rPr>
        <b/>
        <sz val="11"/>
        <color theme="1"/>
        <rFont val="Calibri Light"/>
        <family val="2"/>
      </rPr>
      <t>EXW</t>
    </r>
    <r>
      <rPr>
        <sz val="11"/>
        <color theme="1"/>
        <rFont val="Calibri Light"/>
        <family val="2"/>
      </rPr>
      <t xml:space="preserve"> </t>
    </r>
    <r>
      <rPr>
        <b/>
        <sz val="11"/>
        <color theme="1"/>
        <rFont val="Calibri Light"/>
        <family val="2"/>
      </rPr>
      <t xml:space="preserve">Tham khảo (Asia) </t>
    </r>
    <r>
      <rPr>
        <sz val="11"/>
        <color theme="1"/>
        <rFont val="Calibri Light"/>
        <family val="2"/>
      </rPr>
      <t xml:space="preserve">
- LCL: 250 - 550
- 20ft: 800 - 1300
- 40ft: 1000 - 1500</t>
    </r>
  </si>
  <si>
    <r>
      <rPr>
        <b/>
        <i/>
        <sz val="11"/>
        <color theme="1"/>
        <rFont val="Calibri Light"/>
        <family val="2"/>
      </rPr>
      <t xml:space="preserve">Theo thứ tự giá tăng dần: </t>
    </r>
    <r>
      <rPr>
        <sz val="11"/>
        <color theme="1"/>
        <rFont val="Calibri Light"/>
        <family val="2"/>
      </rPr>
      <t xml:space="preserve">
- China 
- Malay 
- Korea 
- Singapore
- Australia
- EU</t>
    </r>
  </si>
  <si>
    <r>
      <rPr>
        <b/>
        <sz val="11"/>
        <color theme="1"/>
        <rFont val="Calibri Light"/>
        <family val="2"/>
      </rPr>
      <t>Freight</t>
    </r>
    <r>
      <rPr>
        <sz val="11"/>
        <color theme="1"/>
        <rFont val="Calibri Light"/>
        <family val="2"/>
      </rPr>
      <t xml:space="preserve"> </t>
    </r>
    <r>
      <rPr>
        <b/>
        <sz val="11"/>
        <color theme="1"/>
        <rFont val="Calibri Light"/>
        <family val="2"/>
      </rPr>
      <t>Tham khảo (Asia)</t>
    </r>
    <r>
      <rPr>
        <sz val="11"/>
        <color theme="1"/>
        <rFont val="Calibri Light"/>
        <family val="2"/>
      </rPr>
      <t xml:space="preserve">
- LCL: 50 * CBM 
- 20ft: 800 - 1300
- 40ft: 1000 - 1500</t>
    </r>
  </si>
  <si>
    <r>
      <rPr>
        <b/>
        <sz val="11"/>
        <color theme="1"/>
        <rFont val="Calibri Light"/>
        <family val="2"/>
      </rPr>
      <t>Local Charge</t>
    </r>
    <r>
      <rPr>
        <sz val="11"/>
        <color theme="1"/>
        <rFont val="Calibri Light"/>
        <family val="2"/>
      </rPr>
      <t xml:space="preserve">
- LCL: 150
- 20ft: 350
- 40ft: 550</t>
    </r>
  </si>
  <si>
    <r>
      <rPr>
        <b/>
        <sz val="11"/>
        <color theme="1"/>
        <rFont val="Calibri Light"/>
        <family val="2"/>
      </rPr>
      <t xml:space="preserve">Customs Clearance </t>
    </r>
    <r>
      <rPr>
        <sz val="11"/>
        <color theme="1"/>
        <rFont val="Calibri Light"/>
        <family val="2"/>
      </rPr>
      <t xml:space="preserve">
- 1 tờ khai: 80 usd
- Kiểm hóa / Luồng đỏ: phát sinh chi phí </t>
    </r>
  </si>
  <si>
    <r>
      <rPr>
        <b/>
        <sz val="11"/>
        <color theme="1"/>
        <rFont val="Calibri Light"/>
        <family val="2"/>
      </rPr>
      <t>Loading</t>
    </r>
    <r>
      <rPr>
        <sz val="11"/>
        <color theme="1"/>
        <rFont val="Calibri Light"/>
        <family val="2"/>
      </rPr>
      <t xml:space="preserve">
- LCL: 500 - 1500
- 20ft: 2500
- 40ft: 3500</t>
    </r>
  </si>
  <si>
    <r>
      <rPr>
        <b/>
        <sz val="11"/>
        <color theme="1"/>
        <rFont val="Calibri Light"/>
        <family val="2"/>
      </rPr>
      <t>Trucking cont</t>
    </r>
    <r>
      <rPr>
        <sz val="11"/>
        <color theme="1"/>
        <rFont val="Calibri Light"/>
        <family val="2"/>
      </rPr>
      <t xml:space="preserve">
- 20ft: 350
- 40ft: 550</t>
    </r>
  </si>
  <si>
    <r>
      <rPr>
        <b/>
        <sz val="11"/>
        <color theme="1"/>
        <rFont val="Calibri Light"/>
        <family val="2"/>
      </rPr>
      <t>China: CO Form E</t>
    </r>
    <r>
      <rPr>
        <sz val="11"/>
        <color theme="1"/>
        <rFont val="Calibri Light"/>
        <family val="2"/>
      </rPr>
      <t xml:space="preserve">
- Ghế xoay + nâng hạ: 5%
- Ghế khác: 0%
- Bàn: 5% 
- Phụ kiện: 0%
- Phonebooth: 5%</t>
    </r>
  </si>
  <si>
    <r>
      <rPr>
        <b/>
        <sz val="11"/>
        <color theme="1"/>
        <rFont val="Calibri Light"/>
        <family val="2"/>
      </rPr>
      <t>25%</t>
    </r>
    <r>
      <rPr>
        <sz val="11"/>
        <color theme="1"/>
        <rFont val="Calibri Light"/>
        <family val="2"/>
      </rPr>
      <t xml:space="preserve">
- Khụ vực khác (US, Singapore…)
- Framery SING (Phonebooth): 10% 
- Không có CO </t>
    </r>
  </si>
  <si>
    <t>- PO cũ 
- Check với FWD khai hải quan</t>
  </si>
  <si>
    <r>
      <t xml:space="preserve">Bàn: 35.2%
- Trừ </t>
    </r>
    <r>
      <rPr>
        <sz val="11"/>
        <color rgb="FFFF0000"/>
        <rFont val="Calibri Light"/>
        <family val="2"/>
      </rPr>
      <t xml:space="preserve">bàn tròn 
- </t>
    </r>
    <r>
      <rPr>
        <sz val="11"/>
        <color theme="1"/>
        <rFont val="Calibri Light"/>
        <family val="2"/>
      </rPr>
      <t>Trừ</t>
    </r>
    <r>
      <rPr>
        <sz val="11"/>
        <color rgb="FFFF0000"/>
        <rFont val="Calibri Light"/>
        <family val="2"/>
      </rPr>
      <t xml:space="preserve"> bàn coffee KT nhỏ, hoặc bàn họp KT &gt;3300m</t>
    </r>
    <r>
      <rPr>
        <sz val="11"/>
        <color theme="1"/>
        <rFont val="Calibri Light"/>
        <family val="2"/>
      </rPr>
      <t xml:space="preserve">
- Trừ phụ kiện bàn </t>
    </r>
  </si>
  <si>
    <r>
      <rPr>
        <b/>
        <sz val="11"/>
        <color theme="1"/>
        <rFont val="Calibri Light"/>
        <family val="2"/>
      </rPr>
      <t xml:space="preserve">Chi phí CO (if any) </t>
    </r>
    <r>
      <rPr>
        <sz val="11"/>
        <color theme="1"/>
        <rFont val="Calibri Light"/>
        <family val="2"/>
      </rPr>
      <t xml:space="preserve">
- Wilkhahn: $150
- Krede: $130 (agent mình làm)
- Wintech: $85
- Milliken: $100</t>
    </r>
  </si>
  <si>
    <t>- LCL: 0-12 cbm
- 20ft: 12-24 cbm
- 40ft: 25 - 44 cbm (max 33)
- 40ft HC: 46 cbm
- 45ft HC: 51 cbm</t>
  </si>
  <si>
    <r>
      <t xml:space="preserve">- HS: 65-73%
- Framery: 60%
- Grado: 55% Contract, 50% Living trên bảng pricelist, báo giá lẻ là giá net
</t>
    </r>
    <r>
      <rPr>
        <b/>
        <sz val="11"/>
        <color theme="1"/>
        <rFont val="Calibri Light"/>
        <family val="2"/>
      </rPr>
      <t xml:space="preserve">- Krede: pricelist là giá net
- Benel: pricelist là giá net
</t>
    </r>
    <r>
      <rPr>
        <sz val="11"/>
        <color theme="1"/>
        <rFont val="Calibri Light"/>
        <family val="2"/>
      </rPr>
      <t xml:space="preserve">- Wilkhahn: hỏi giá case by case
- Bossdesign: 30%
- HNI-Lamex: 50%
- Segis: 60%
- Schiavello: hỏi giá case by case%
- Flokk: 60%
- Shipper lạ: recheck </t>
    </r>
  </si>
  <si>
    <t>https://tfwspacevn.sharepoint.com/:x:/r/sites/DATA84/_layouts/15/Doc.aspx?sourcedoc=%7BAA30BE71-B5C6-4376-A981-ED8F505D1CC8%7D&amp;file=Packing%20Dimension.xlsx&amp;action=default&amp;mobileredirect=true</t>
  </si>
  <si>
    <t>https://tfwspacevn.sharepoint.com/:x:/r/sites/DATA84/_layouts/15/Doc.aspx?sourcedoc=%7B80AF788E-EBAB-477E-99B1-17DFA39AFCD9%7D&amp;file=FWD%20Updating%20Quotation.xlsx&amp;action=default&amp;mobileredirect=true</t>
  </si>
  <si>
    <t>https://tfwspacevn.sharepoint.com/:x:/r/sites/DATA84/_layouts/15/Doc.aspx?sourcedoc=%7B1CAFDA79-CF92-481C-B951-935B03043AFA%7D&amp;file=3.%20Installation%20Price%20list%20(update%202025).xlsx&amp;action=default&amp;mobileredirect=true</t>
  </si>
  <si>
    <t>Loading &amp; Installation</t>
  </si>
  <si>
    <t>Xem bảng Pricelist
Giá ở HN: x1.5-2</t>
  </si>
  <si>
    <r>
      <rPr>
        <b/>
        <sz val="11"/>
        <color theme="1"/>
        <rFont val="Calibri Light"/>
        <family val="2"/>
      </rPr>
      <t>Trucking ba gác xuống hầm</t>
    </r>
    <r>
      <rPr>
        <sz val="11"/>
        <color theme="1"/>
        <rFont val="Calibri Light"/>
        <family val="2"/>
      </rPr>
      <t xml:space="preserve">
- 1 chuyến: 6-8 ghế
Chi phí 1 chuyến: 200.000 </t>
    </r>
  </si>
  <si>
    <r>
      <rPr>
        <b/>
        <sz val="11"/>
        <color theme="1"/>
        <rFont val="Calibri Light"/>
        <family val="2"/>
      </rPr>
      <t>Trucking cont ra site / chuyến</t>
    </r>
    <r>
      <rPr>
        <sz val="11"/>
        <color theme="1"/>
        <rFont val="Calibri Light"/>
        <family val="2"/>
      </rPr>
      <t xml:space="preserve">
- 20ft: 3.200.000 tr
- 40ft: 3.800.000 tr</t>
    </r>
  </si>
  <si>
    <r>
      <rPr>
        <b/>
        <sz val="11"/>
        <color theme="1"/>
        <rFont val="Calibri Light"/>
        <family val="2"/>
      </rPr>
      <t>Warehouse cảng</t>
    </r>
    <r>
      <rPr>
        <sz val="11"/>
        <color theme="1"/>
        <rFont val="Calibri Light"/>
        <family val="2"/>
      </rPr>
      <t xml:space="preserve">
- LCL: free 5 days 
- Cont: free 7-14 days tùy vào hãng tàu book 
- LCL: 20 - 100 usd
- 20ft: 100 - 150 usd
- 40ft: 150 - 200 usd
Chi phí theo CBM: 8.000 / CBM / ngày
Loading: 55.000-70.000 / CBM / 2 lần in out</t>
    </r>
  </si>
  <si>
    <r>
      <rPr>
        <b/>
        <sz val="11"/>
        <color theme="1"/>
        <rFont val="Calibri Light"/>
        <family val="2"/>
      </rPr>
      <t>Trucking tải</t>
    </r>
    <r>
      <rPr>
        <sz val="11"/>
        <color theme="1"/>
        <rFont val="Calibri Light"/>
        <family val="2"/>
      </rPr>
      <t xml:space="preserve">
- LCL: 20-40 ghế / tải tuỷ kích thước ghế
- 20ft: 4-5 tải 
- 40ft: 8-10 tải 
Chi phí 1 tải: 850.000 - 1.200.000 - 1.800.000 / xe tuỳ kích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</si>
</sst>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 d\,\ yyyy"/>
    <numFmt numFmtId="165" formatCode="#,##0.00;[Red]#,##0.00"/>
    <numFmt numFmtId="166" formatCode="0.00;[Red]0.00"/>
    <numFmt numFmtId="167" formatCode="&quot;$&quot;#,##0.00;[Red]&quot;$&quot;#,##0.00"/>
    <numFmt numFmtId="168" formatCode="[$-409]d\-mmm\-yy;@"/>
    <numFmt numFmtId="169" formatCode="_(* #,##0_);_(* \(#,##0\);_(* &quot;-&quot;??_);_(@_)"/>
    <numFmt numFmtId="170" formatCode="0.0%"/>
    <numFmt numFmtId="171" formatCode="_(* #,##0.0_);_(* \(#,##0.0\);_(* &quot;-&quot;?_);_(@_)"/>
  </numFmts>
  <fonts count="64">
    <font>
      <sz val="10"/>
      <name val="VNI-Times"/>
    </font>
    <font>
      <sz val="11"/>
      <color theme="1"/>
      <name val="Calibri"/>
      <family val="2"/>
      <scheme val="minor"/>
    </font>
    <font>
      <sz val="10"/>
      <name val="VNI-Times"/>
    </font>
    <font>
      <b/>
      <sz val="11"/>
      <name val="Arial"/>
      <family val="2"/>
    </font>
    <font>
      <sz val="11"/>
      <name val="Arial"/>
      <family val="2"/>
    </font>
    <font>
      <sz val="11"/>
      <color indexed="53"/>
      <name val="Arial"/>
      <family val="2"/>
    </font>
    <font>
      <b/>
      <u/>
      <sz val="11"/>
      <name val="Arial"/>
      <family val="2"/>
    </font>
    <font>
      <b/>
      <u/>
      <sz val="11"/>
      <color indexed="16"/>
      <name val="Arial"/>
      <family val="2"/>
    </font>
    <font>
      <b/>
      <sz val="11"/>
      <color indexed="16"/>
      <name val="MS Sans Serif"/>
      <family val="2"/>
    </font>
    <font>
      <b/>
      <sz val="11"/>
      <color indexed="16"/>
      <name val="Arial"/>
      <family val="2"/>
    </font>
    <font>
      <b/>
      <sz val="11"/>
      <color indexed="8"/>
      <name val="Arial"/>
      <family val="2"/>
    </font>
    <font>
      <sz val="11"/>
      <color indexed="9"/>
      <name val="Arial"/>
      <family val="2"/>
    </font>
    <font>
      <b/>
      <sz val="11"/>
      <color indexed="9"/>
      <name val="Arial"/>
      <family val="2"/>
    </font>
    <font>
      <sz val="11"/>
      <color indexed="41"/>
      <name val="Arial"/>
      <family val="2"/>
    </font>
    <font>
      <b/>
      <sz val="11"/>
      <color indexed="41"/>
      <name val="Arial"/>
      <family val="2"/>
    </font>
    <font>
      <sz val="11"/>
      <color indexed="8"/>
      <name val="Arial"/>
      <family val="2"/>
    </font>
    <font>
      <b/>
      <sz val="11"/>
      <color indexed="12"/>
      <name val="Arial"/>
      <family val="2"/>
    </font>
    <font>
      <b/>
      <sz val="11"/>
      <color indexed="53"/>
      <name val="Arial"/>
      <family val="2"/>
    </font>
    <font>
      <sz val="11"/>
      <color indexed="10"/>
      <name val="Arial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u/>
      <sz val="8"/>
      <color indexed="12"/>
      <name val="VNI-Times"/>
    </font>
    <font>
      <sz val="10"/>
      <name val="VNI-Times"/>
    </font>
    <font>
      <sz val="11"/>
      <color indexed="61"/>
      <name val="Arial"/>
      <family val="2"/>
    </font>
    <font>
      <b/>
      <sz val="11"/>
      <color indexed="61"/>
      <name val="Arial"/>
      <family val="2"/>
    </font>
    <font>
      <sz val="11"/>
      <name val="ＭＳ Ｐゴシック"/>
      <charset val="128"/>
    </font>
    <font>
      <sz val="10"/>
      <name val="Arial"/>
      <family val="2"/>
    </font>
    <font>
      <b/>
      <sz val="10"/>
      <name val="Arial"/>
      <family val="2"/>
    </font>
    <font>
      <b/>
      <sz val="10"/>
      <name val="VNI-Times"/>
    </font>
    <font>
      <i/>
      <u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4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indexed="53"/>
      <name val="Calibri"/>
      <family val="2"/>
      <scheme val="minor"/>
    </font>
    <font>
      <b/>
      <u/>
      <sz val="14"/>
      <color indexed="16"/>
      <name val="Calibri"/>
      <family val="2"/>
      <scheme val="minor"/>
    </font>
    <font>
      <b/>
      <sz val="14"/>
      <color indexed="16"/>
      <name val="Calibri"/>
      <family val="2"/>
      <scheme val="minor"/>
    </font>
    <font>
      <b/>
      <sz val="14"/>
      <color indexed="8"/>
      <name val="Calibri"/>
      <family val="2"/>
      <scheme val="minor"/>
    </font>
    <font>
      <b/>
      <u/>
      <sz val="14"/>
      <color indexed="12"/>
      <name val="Calibri"/>
      <family val="2"/>
      <scheme val="minor"/>
    </font>
    <font>
      <sz val="14"/>
      <color indexed="41"/>
      <name val="Calibri"/>
      <family val="2"/>
      <scheme val="minor"/>
    </font>
    <font>
      <b/>
      <sz val="14"/>
      <color indexed="41"/>
      <name val="Calibri"/>
      <family val="2"/>
      <scheme val="minor"/>
    </font>
    <font>
      <sz val="14"/>
      <color indexed="9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14"/>
      <color indexed="53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8"/>
      <color rgb="FFFF0000"/>
      <name val="Arial"/>
      <family val="2"/>
    </font>
    <font>
      <b/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b/>
      <sz val="18"/>
      <color rgb="FFC00000"/>
      <name val="Arial"/>
      <family val="2"/>
    </font>
    <font>
      <b/>
      <sz val="11"/>
      <color rgb="FFC00000"/>
      <name val="MS Sans Serif"/>
      <family val="2"/>
    </font>
    <font>
      <b/>
      <sz val="11"/>
      <color rgb="FFC00000"/>
      <name val="Arial"/>
      <family val="2"/>
    </font>
    <font>
      <b/>
      <i/>
      <sz val="11"/>
      <name val="Arial"/>
      <family val="2"/>
    </font>
    <font>
      <b/>
      <sz val="15"/>
      <color theme="0"/>
      <name val="Calibri Light"/>
      <family val="2"/>
    </font>
    <font>
      <sz val="11"/>
      <color theme="1"/>
      <name val="Calibri Light"/>
      <family val="2"/>
    </font>
    <font>
      <b/>
      <sz val="11"/>
      <color rgb="FFFF0000"/>
      <name val="Calibri Light"/>
      <family val="2"/>
    </font>
    <font>
      <b/>
      <sz val="11"/>
      <color theme="1"/>
      <name val="Calibri Light"/>
      <family val="2"/>
    </font>
    <font>
      <sz val="11"/>
      <name val="Calibri Light"/>
      <family val="2"/>
    </font>
    <font>
      <sz val="11"/>
      <color rgb="FFFF0000"/>
      <name val="Calibri Light"/>
      <family val="2"/>
    </font>
    <font>
      <b/>
      <i/>
      <sz val="11"/>
      <color theme="1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33" fillId="0" borderId="0"/>
    <xf numFmtId="9" fontId="22" fillId="0" borderId="0" applyFont="0" applyFill="0" applyBorder="0" applyAlignment="0" applyProtection="0"/>
    <xf numFmtId="0" fontId="25" fillId="0" borderId="0"/>
    <xf numFmtId="0" fontId="1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306">
    <xf numFmtId="0" fontId="0" fillId="0" borderId="0" xfId="0"/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4" fontId="4" fillId="2" borderId="2" xfId="0" applyNumberFormat="1" applyFont="1" applyFill="1" applyBorder="1" applyAlignment="1">
      <alignment vertical="center" wrapText="1"/>
    </xf>
    <xf numFmtId="4" fontId="4" fillId="3" borderId="2" xfId="0" applyNumberFormat="1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0" borderId="2" xfId="0" applyFont="1" applyBorder="1" applyAlignment="1">
      <alignment vertical="center" wrapText="1"/>
    </xf>
    <xf numFmtId="4" fontId="9" fillId="0" borderId="0" xfId="0" applyNumberFormat="1" applyFont="1" applyAlignment="1">
      <alignment horizontal="left" vertical="center" wrapText="1"/>
    </xf>
    <xf numFmtId="9" fontId="9" fillId="4" borderId="2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5" borderId="3" xfId="0" applyFont="1" applyFill="1" applyBorder="1" applyAlignment="1">
      <alignment vertical="center" wrapText="1"/>
    </xf>
    <xf numFmtId="4" fontId="14" fillId="5" borderId="3" xfId="0" applyNumberFormat="1" applyFont="1" applyFill="1" applyBorder="1" applyAlignment="1">
      <alignment vertical="center" wrapText="1"/>
    </xf>
    <xf numFmtId="4" fontId="13" fillId="5" borderId="3" xfId="0" applyNumberFormat="1" applyFont="1" applyFill="1" applyBorder="1" applyAlignment="1">
      <alignment vertical="center" wrapText="1"/>
    </xf>
    <xf numFmtId="0" fontId="14" fillId="5" borderId="3" xfId="0" applyFont="1" applyFill="1" applyBorder="1" applyAlignment="1">
      <alignment vertical="center" wrapText="1"/>
    </xf>
    <xf numFmtId="4" fontId="14" fillId="4" borderId="3" xfId="0" applyNumberFormat="1" applyFont="1" applyFill="1" applyBorder="1" applyAlignment="1">
      <alignment vertical="center" wrapText="1"/>
    </xf>
    <xf numFmtId="4" fontId="13" fillId="4" borderId="3" xfId="0" applyNumberFormat="1" applyFont="1" applyFill="1" applyBorder="1" applyAlignment="1">
      <alignment vertical="center" wrapText="1"/>
    </xf>
    <xf numFmtId="0" fontId="15" fillId="0" borderId="2" xfId="0" applyFont="1" applyBorder="1" applyAlignment="1">
      <alignment horizontal="center" vertical="center" wrapText="1"/>
    </xf>
    <xf numFmtId="4" fontId="15" fillId="0" borderId="2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 applyAlignment="1">
      <alignment horizontal="center" vertical="center" wrapText="1"/>
    </xf>
    <xf numFmtId="4" fontId="10" fillId="0" borderId="4" xfId="0" applyNumberFormat="1" applyFont="1" applyBorder="1" applyAlignment="1">
      <alignment vertical="center" wrapText="1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4" fontId="10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166" fontId="17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0" fontId="17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165" fontId="3" fillId="0" borderId="0" xfId="0" applyNumberFormat="1" applyFont="1" applyAlignment="1">
      <alignment horizontal="center" vertical="center" wrapText="1"/>
    </xf>
    <xf numFmtId="166" fontId="17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" fontId="4" fillId="0" borderId="2" xfId="0" applyNumberFormat="1" applyFont="1" applyBorder="1" applyAlignment="1">
      <alignment horizontal="center" vertical="center" wrapText="1"/>
    </xf>
    <xf numFmtId="44" fontId="3" fillId="0" borderId="2" xfId="0" applyNumberFormat="1" applyFont="1" applyBorder="1" applyAlignment="1">
      <alignment vertical="center" wrapText="1"/>
    </xf>
    <xf numFmtId="0" fontId="4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" fontId="16" fillId="0" borderId="0" xfId="0" applyNumberFormat="1" applyFont="1" applyAlignment="1">
      <alignment vertical="center"/>
    </xf>
    <xf numFmtId="166" fontId="17" fillId="0" borderId="0" xfId="0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7" fontId="3" fillId="0" borderId="0" xfId="0" applyNumberFormat="1" applyFont="1" applyAlignment="1">
      <alignment horizontal="right" vertical="center"/>
    </xf>
    <xf numFmtId="167" fontId="3" fillId="0" borderId="0" xfId="0" applyNumberFormat="1" applyFont="1" applyAlignment="1">
      <alignment vertical="center"/>
    </xf>
    <xf numFmtId="0" fontId="16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7" fontId="6" fillId="0" borderId="0" xfId="0" applyNumberFormat="1" applyFont="1" applyAlignment="1">
      <alignment vertical="center"/>
    </xf>
    <xf numFmtId="0" fontId="1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6" fontId="4" fillId="0" borderId="0" xfId="0" applyNumberFormat="1" applyFont="1" applyAlignment="1">
      <alignment vertical="center"/>
    </xf>
    <xf numFmtId="4" fontId="10" fillId="0" borderId="4" xfId="0" applyNumberFormat="1" applyFont="1" applyBorder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9" fontId="3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0" xfId="0" applyFont="1"/>
    <xf numFmtId="0" fontId="24" fillId="0" borderId="2" xfId="0" applyFont="1" applyBorder="1" applyAlignment="1">
      <alignment horizontal="center" vertical="center"/>
    </xf>
    <xf numFmtId="43" fontId="3" fillId="0" borderId="0" xfId="0" applyNumberFormat="1" applyFont="1" applyAlignment="1">
      <alignment vertical="center"/>
    </xf>
    <xf numFmtId="0" fontId="4" fillId="0" borderId="2" xfId="0" applyFont="1" applyBorder="1" applyAlignment="1">
      <alignment vertical="center" wrapText="1"/>
    </xf>
    <xf numFmtId="39" fontId="4" fillId="2" borderId="2" xfId="2" applyNumberFormat="1" applyFont="1" applyFill="1" applyBorder="1" applyAlignment="1">
      <alignment vertical="center" wrapText="1"/>
    </xf>
    <xf numFmtId="10" fontId="9" fillId="4" borderId="2" xfId="6" applyNumberFormat="1" applyFont="1" applyFill="1" applyBorder="1" applyAlignment="1">
      <alignment vertical="center" wrapText="1"/>
    </xf>
    <xf numFmtId="10" fontId="15" fillId="0" borderId="2" xfId="6" applyNumberFormat="1" applyFont="1" applyFill="1" applyBorder="1" applyAlignment="1">
      <alignment horizontal="center" vertical="center" wrapText="1"/>
    </xf>
    <xf numFmtId="4" fontId="15" fillId="0" borderId="2" xfId="6" applyNumberFormat="1" applyFont="1" applyFill="1" applyBorder="1" applyAlignment="1">
      <alignment horizontal="center" vertical="center" wrapText="1"/>
    </xf>
    <xf numFmtId="43" fontId="4" fillId="0" borderId="2" xfId="2" applyFont="1" applyFill="1" applyBorder="1" applyAlignment="1">
      <alignment horizontal="center" vertical="center"/>
    </xf>
    <xf numFmtId="43" fontId="23" fillId="0" borderId="2" xfId="2" applyFont="1" applyFill="1" applyBorder="1" applyAlignment="1">
      <alignment horizontal="center" vertical="center"/>
    </xf>
    <xf numFmtId="10" fontId="24" fillId="0" borderId="5" xfId="6" applyNumberFormat="1" applyFont="1" applyBorder="1" applyAlignment="1">
      <alignment horizontal="center" vertical="center"/>
    </xf>
    <xf numFmtId="10" fontId="3" fillId="0" borderId="0" xfId="6" applyNumberFormat="1" applyFont="1" applyAlignment="1">
      <alignment horizontal="center" vertical="center" wrapText="1"/>
    </xf>
    <xf numFmtId="10" fontId="16" fillId="0" borderId="0" xfId="6" applyNumberFormat="1" applyFont="1" applyAlignment="1">
      <alignment vertical="center"/>
    </xf>
    <xf numFmtId="44" fontId="3" fillId="0" borderId="2" xfId="3" applyFont="1" applyFill="1" applyBorder="1" applyAlignment="1">
      <alignment vertical="center" wrapText="1"/>
    </xf>
    <xf numFmtId="10" fontId="3" fillId="6" borderId="2" xfId="6" applyNumberFormat="1" applyFont="1" applyFill="1" applyBorder="1" applyAlignment="1">
      <alignment vertical="center"/>
    </xf>
    <xf numFmtId="9" fontId="3" fillId="0" borderId="0" xfId="6" applyFont="1" applyFill="1" applyBorder="1" applyAlignment="1">
      <alignment vertical="center"/>
    </xf>
    <xf numFmtId="4" fontId="34" fillId="0" borderId="2" xfId="0" applyNumberFormat="1" applyFont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26" fillId="0" borderId="0" xfId="0" applyFont="1"/>
    <xf numFmtId="0" fontId="26" fillId="0" borderId="2" xfId="0" applyFont="1" applyBorder="1" applyAlignment="1">
      <alignment horizontal="center"/>
    </xf>
    <xf numFmtId="0" fontId="26" fillId="0" borderId="2" xfId="0" applyFont="1" applyBorder="1"/>
    <xf numFmtId="169" fontId="26" fillId="0" borderId="2" xfId="0" applyNumberFormat="1" applyFont="1" applyBorder="1"/>
    <xf numFmtId="169" fontId="26" fillId="0" borderId="2" xfId="2" applyNumberFormat="1" applyFont="1" applyBorder="1" applyAlignment="1">
      <alignment horizontal="center"/>
    </xf>
    <xf numFmtId="0" fontId="26" fillId="0" borderId="0" xfId="0" applyFont="1" applyAlignment="1">
      <alignment horizontal="center"/>
    </xf>
    <xf numFmtId="169" fontId="26" fillId="0" borderId="0" xfId="2" applyNumberFormat="1" applyFont="1" applyBorder="1" applyAlignment="1">
      <alignment horizontal="center"/>
    </xf>
    <xf numFmtId="169" fontId="26" fillId="0" borderId="0" xfId="0" applyNumberFormat="1" applyFont="1"/>
    <xf numFmtId="0" fontId="27" fillId="0" borderId="0" xfId="0" applyFont="1"/>
    <xf numFmtId="169" fontId="27" fillId="0" borderId="0" xfId="0" applyNumberFormat="1" applyFont="1"/>
    <xf numFmtId="0" fontId="28" fillId="0" borderId="0" xfId="0" applyFont="1"/>
    <xf numFmtId="10" fontId="27" fillId="0" borderId="0" xfId="6" applyNumberFormat="1" applyFont="1"/>
    <xf numFmtId="0" fontId="29" fillId="0" borderId="0" xfId="0" applyFont="1"/>
    <xf numFmtId="43" fontId="26" fillId="0" borderId="0" xfId="1" applyFont="1"/>
    <xf numFmtId="43" fontId="4" fillId="0" borderId="0" xfId="0" applyNumberFormat="1" applyFont="1"/>
    <xf numFmtId="0" fontId="4" fillId="0" borderId="2" xfId="0" applyFont="1" applyBorder="1" applyAlignment="1">
      <alignment horizontal="left" vertical="center" wrapText="1"/>
    </xf>
    <xf numFmtId="8" fontId="4" fillId="0" borderId="2" xfId="2" applyNumberFormat="1" applyFont="1" applyBorder="1" applyAlignment="1">
      <alignment horizontal="center" vertical="center"/>
    </xf>
    <xf numFmtId="0" fontId="4" fillId="7" borderId="0" xfId="0" applyFont="1" applyFill="1" applyAlignment="1">
      <alignment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36" fillId="0" borderId="0" xfId="0" applyFont="1" applyAlignment="1">
      <alignment vertical="center"/>
    </xf>
    <xf numFmtId="0" fontId="35" fillId="0" borderId="0" xfId="0" applyFont="1" applyAlignment="1">
      <alignment vertical="center" wrapText="1"/>
    </xf>
    <xf numFmtId="0" fontId="37" fillId="0" borderId="0" xfId="0" applyFont="1" applyAlignment="1">
      <alignment vertical="center" wrapText="1"/>
    </xf>
    <xf numFmtId="168" fontId="36" fillId="0" borderId="0" xfId="0" applyNumberFormat="1" applyFont="1" applyAlignment="1">
      <alignment horizontal="left" vertical="center" wrapText="1"/>
    </xf>
    <xf numFmtId="0" fontId="36" fillId="0" borderId="2" xfId="0" applyFont="1" applyBorder="1" applyAlignment="1">
      <alignment vertical="center" wrapText="1"/>
    </xf>
    <xf numFmtId="164" fontId="36" fillId="0" borderId="0" xfId="0" applyNumberFormat="1" applyFont="1" applyAlignment="1">
      <alignment horizontal="left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>
      <alignment vertical="center" wrapText="1"/>
    </xf>
    <xf numFmtId="0" fontId="39" fillId="0" borderId="2" xfId="0" applyFont="1" applyBorder="1" applyAlignment="1">
      <alignment vertical="center" wrapText="1"/>
    </xf>
    <xf numFmtId="0" fontId="35" fillId="0" borderId="6" xfId="0" applyFont="1" applyBorder="1" applyAlignment="1">
      <alignment vertical="center" wrapText="1"/>
    </xf>
    <xf numFmtId="0" fontId="35" fillId="0" borderId="2" xfId="0" applyFont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42" fillId="4" borderId="2" xfId="0" applyFont="1" applyFill="1" applyBorder="1" applyAlignment="1">
      <alignment horizontal="center" vertical="center" wrapText="1"/>
    </xf>
    <xf numFmtId="0" fontId="42" fillId="5" borderId="2" xfId="0" applyFont="1" applyFill="1" applyBorder="1" applyAlignment="1">
      <alignment vertical="center" wrapText="1"/>
    </xf>
    <xf numFmtId="0" fontId="43" fillId="5" borderId="2" xfId="0" applyFont="1" applyFill="1" applyBorder="1" applyAlignment="1">
      <alignment vertical="center" wrapText="1"/>
    </xf>
    <xf numFmtId="4" fontId="43" fillId="5" borderId="2" xfId="0" applyNumberFormat="1" applyFont="1" applyFill="1" applyBorder="1" applyAlignment="1">
      <alignment vertical="center" wrapText="1"/>
    </xf>
    <xf numFmtId="4" fontId="43" fillId="8" borderId="2" xfId="0" applyNumberFormat="1" applyFont="1" applyFill="1" applyBorder="1" applyAlignment="1">
      <alignment vertical="center" wrapText="1"/>
    </xf>
    <xf numFmtId="0" fontId="44" fillId="8" borderId="2" xfId="0" applyFont="1" applyFill="1" applyBorder="1" applyAlignment="1">
      <alignment vertical="center" wrapText="1"/>
    </xf>
    <xf numFmtId="0" fontId="36" fillId="8" borderId="2" xfId="0" applyFont="1" applyFill="1" applyBorder="1" applyAlignment="1">
      <alignment vertical="center"/>
    </xf>
    <xf numFmtId="0" fontId="44" fillId="8" borderId="2" xfId="0" applyFont="1" applyFill="1" applyBorder="1" applyAlignment="1">
      <alignment vertical="center"/>
    </xf>
    <xf numFmtId="0" fontId="44" fillId="9" borderId="2" xfId="0" applyFont="1" applyFill="1" applyBorder="1" applyAlignment="1">
      <alignment vertical="center"/>
    </xf>
    <xf numFmtId="0" fontId="44" fillId="2" borderId="0" xfId="0" applyFont="1" applyFill="1" applyAlignment="1">
      <alignment vertical="center"/>
    </xf>
    <xf numFmtId="0" fontId="45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left" vertical="center" wrapText="1"/>
    </xf>
    <xf numFmtId="0" fontId="36" fillId="0" borderId="2" xfId="0" applyFont="1" applyBorder="1" applyAlignment="1">
      <alignment horizontal="center" vertical="center" wrapText="1"/>
    </xf>
    <xf numFmtId="4" fontId="45" fillId="0" borderId="2" xfId="0" applyNumberFormat="1" applyFont="1" applyBorder="1" applyAlignment="1">
      <alignment horizontal="center" vertical="center" wrapText="1"/>
    </xf>
    <xf numFmtId="43" fontId="46" fillId="0" borderId="2" xfId="0" applyNumberFormat="1" applyFont="1" applyBorder="1" applyAlignment="1">
      <alignment horizontal="center" vertical="center" wrapText="1"/>
    </xf>
    <xf numFmtId="43" fontId="36" fillId="0" borderId="2" xfId="0" applyNumberFormat="1" applyFont="1" applyBorder="1" applyAlignment="1">
      <alignment vertical="center"/>
    </xf>
    <xf numFmtId="0" fontId="36" fillId="0" borderId="0" xfId="0" applyFont="1"/>
    <xf numFmtId="0" fontId="40" fillId="0" borderId="2" xfId="0" applyFont="1" applyBorder="1" applyAlignment="1">
      <alignment vertical="center" wrapText="1"/>
    </xf>
    <xf numFmtId="4" fontId="40" fillId="0" borderId="2" xfId="0" applyNumberFormat="1" applyFont="1" applyBorder="1" applyAlignment="1">
      <alignment horizontal="center" vertical="center" wrapText="1"/>
    </xf>
    <xf numFmtId="43" fontId="35" fillId="0" borderId="2" xfId="0" applyNumberFormat="1" applyFont="1" applyBorder="1" applyAlignment="1">
      <alignment vertical="center" wrapText="1"/>
    </xf>
    <xf numFmtId="43" fontId="35" fillId="0" borderId="2" xfId="0" applyNumberFormat="1" applyFont="1" applyBorder="1" applyAlignment="1">
      <alignment vertical="center"/>
    </xf>
    <xf numFmtId="0" fontId="35" fillId="0" borderId="2" xfId="0" applyFont="1" applyBorder="1" applyAlignment="1">
      <alignment vertical="center"/>
    </xf>
    <xf numFmtId="0" fontId="35" fillId="0" borderId="0" xfId="0" applyFont="1" applyAlignment="1">
      <alignment vertical="center"/>
    </xf>
    <xf numFmtId="0" fontId="40" fillId="0" borderId="0" xfId="0" applyFont="1" applyAlignment="1">
      <alignment horizontal="center" vertical="center" wrapText="1"/>
    </xf>
    <xf numFmtId="0" fontId="40" fillId="0" borderId="0" xfId="0" applyFont="1" applyAlignment="1">
      <alignment horizontal="right" vertical="center" wrapText="1"/>
    </xf>
    <xf numFmtId="4" fontId="40" fillId="0" borderId="0" xfId="0" applyNumberFormat="1" applyFont="1" applyAlignment="1">
      <alignment horizontal="right" vertical="center" wrapText="1"/>
    </xf>
    <xf numFmtId="0" fontId="35" fillId="0" borderId="0" xfId="0" applyFont="1" applyAlignment="1">
      <alignment horizontal="right" vertical="center" wrapText="1"/>
    </xf>
    <xf numFmtId="166" fontId="47" fillId="0" borderId="0" xfId="0" applyNumberFormat="1" applyFont="1" applyAlignment="1">
      <alignment horizontal="right" vertical="center" wrapText="1"/>
    </xf>
    <xf numFmtId="0" fontId="47" fillId="0" borderId="0" xfId="0" applyFont="1" applyAlignment="1">
      <alignment vertical="center" wrapText="1"/>
    </xf>
    <xf numFmtId="166" fontId="47" fillId="0" borderId="0" xfId="0" applyNumberFormat="1" applyFont="1" applyAlignment="1">
      <alignment vertical="center" wrapText="1"/>
    </xf>
    <xf numFmtId="166" fontId="47" fillId="0" borderId="0" xfId="0" applyNumberFormat="1" applyFont="1" applyAlignment="1">
      <alignment vertical="center"/>
    </xf>
    <xf numFmtId="167" fontId="35" fillId="0" borderId="0" xfId="0" applyNumberFormat="1" applyFont="1" applyAlignment="1">
      <alignment vertical="center"/>
    </xf>
    <xf numFmtId="0" fontId="36" fillId="0" borderId="0" xfId="0" applyFont="1" applyAlignment="1">
      <alignment horizontal="left" vertical="center"/>
    </xf>
    <xf numFmtId="167" fontId="48" fillId="0" borderId="0" xfId="0" applyNumberFormat="1" applyFont="1" applyAlignment="1">
      <alignment vertical="center"/>
    </xf>
    <xf numFmtId="0" fontId="47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0" fontId="15" fillId="10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7" fillId="10" borderId="0" xfId="0" applyFont="1" applyFill="1" applyAlignment="1">
      <alignment vertical="center" wrapText="1"/>
    </xf>
    <xf numFmtId="0" fontId="35" fillId="11" borderId="0" xfId="0" applyFont="1" applyFill="1" applyAlignment="1">
      <alignment vertical="center" wrapText="1"/>
    </xf>
    <xf numFmtId="0" fontId="27" fillId="11" borderId="0" xfId="0" applyFont="1" applyFill="1"/>
    <xf numFmtId="164" fontId="4" fillId="0" borderId="0" xfId="0" applyNumberFormat="1" applyFont="1" applyAlignment="1">
      <alignment horizontal="left" vertical="center" wrapText="1"/>
    </xf>
    <xf numFmtId="170" fontId="16" fillId="0" borderId="0" xfId="6" applyNumberFormat="1" applyFont="1" applyFill="1" applyBorder="1" applyAlignment="1">
      <alignment vertical="center"/>
    </xf>
    <xf numFmtId="0" fontId="49" fillId="0" borderId="0" xfId="0" applyFont="1" applyAlignment="1">
      <alignment vertical="center" wrapText="1"/>
    </xf>
    <xf numFmtId="166" fontId="3" fillId="0" borderId="0" xfId="0" applyNumberFormat="1" applyFont="1" applyAlignment="1">
      <alignment horizontal="right" vertical="center" wrapText="1"/>
    </xf>
    <xf numFmtId="0" fontId="3" fillId="0" borderId="2" xfId="0" applyFont="1" applyBorder="1" applyAlignment="1">
      <alignment vertical="center"/>
    </xf>
    <xf numFmtId="169" fontId="4" fillId="0" borderId="2" xfId="1" applyNumberFormat="1" applyFont="1" applyFill="1" applyBorder="1" applyAlignment="1">
      <alignment vertical="center"/>
    </xf>
    <xf numFmtId="4" fontId="4" fillId="0" borderId="2" xfId="0" applyNumberFormat="1" applyFont="1" applyBorder="1" applyAlignment="1">
      <alignment vertical="center" wrapText="1"/>
    </xf>
    <xf numFmtId="169" fontId="4" fillId="0" borderId="2" xfId="0" applyNumberFormat="1" applyFont="1" applyBorder="1" applyAlignment="1">
      <alignment vertical="center" wrapText="1"/>
    </xf>
    <xf numFmtId="166" fontId="3" fillId="0" borderId="2" xfId="0" applyNumberFormat="1" applyFont="1" applyBorder="1" applyAlignment="1">
      <alignment vertical="center" wrapText="1"/>
    </xf>
    <xf numFmtId="166" fontId="3" fillId="0" borderId="2" xfId="0" applyNumberFormat="1" applyFont="1" applyBorder="1" applyAlignment="1">
      <alignment vertical="center"/>
    </xf>
    <xf numFmtId="0" fontId="50" fillId="0" borderId="2" xfId="0" applyFont="1" applyBorder="1" applyAlignment="1">
      <alignment vertical="center"/>
    </xf>
    <xf numFmtId="0" fontId="50" fillId="0" borderId="2" xfId="0" applyFont="1" applyBorder="1" applyAlignment="1">
      <alignment vertical="center" wrapText="1"/>
    </xf>
    <xf numFmtId="166" fontId="50" fillId="0" borderId="2" xfId="0" applyNumberFormat="1" applyFont="1" applyBorder="1" applyAlignment="1">
      <alignment vertical="center" wrapText="1"/>
    </xf>
    <xf numFmtId="166" fontId="50" fillId="0" borderId="2" xfId="0" applyNumberFormat="1" applyFont="1" applyBorder="1" applyAlignment="1">
      <alignment vertical="center"/>
    </xf>
    <xf numFmtId="169" fontId="51" fillId="0" borderId="0" xfId="0" applyNumberFormat="1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3" fillId="0" borderId="8" xfId="0" applyFont="1" applyBorder="1" applyAlignment="1">
      <alignment horizontal="center" vertical="center"/>
    </xf>
    <xf numFmtId="9" fontId="15" fillId="0" borderId="2" xfId="6" applyFont="1" applyFill="1" applyBorder="1" applyAlignment="1">
      <alignment horizontal="center" vertical="center" wrapText="1"/>
    </xf>
    <xf numFmtId="0" fontId="18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4" fontId="13" fillId="5" borderId="3" xfId="0" quotePrefix="1" applyNumberFormat="1" applyFont="1" applyFill="1" applyBorder="1" applyAlignment="1">
      <alignment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4" fontId="13" fillId="4" borderId="10" xfId="0" applyNumberFormat="1" applyFont="1" applyFill="1" applyBorder="1" applyAlignment="1">
      <alignment vertical="center" wrapText="1"/>
    </xf>
    <xf numFmtId="10" fontId="15" fillId="0" borderId="8" xfId="6" applyNumberFormat="1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/>
    </xf>
    <xf numFmtId="0" fontId="23" fillId="2" borderId="2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3" fontId="52" fillId="12" borderId="0" xfId="0" applyNumberFormat="1" applyFont="1" applyFill="1" applyAlignment="1">
      <alignment vertical="center" wrapText="1"/>
    </xf>
    <xf numFmtId="169" fontId="4" fillId="0" borderId="0" xfId="2" applyNumberFormat="1" applyFont="1" applyFill="1" applyBorder="1" applyAlignment="1">
      <alignment vertical="center"/>
    </xf>
    <xf numFmtId="0" fontId="53" fillId="11" borderId="0" xfId="0" applyFont="1" applyFill="1" applyAlignment="1">
      <alignment vertical="center" wrapText="1"/>
    </xf>
    <xf numFmtId="0" fontId="54" fillId="11" borderId="2" xfId="0" applyFont="1" applyFill="1" applyBorder="1" applyAlignment="1">
      <alignment vertical="center" wrapText="1"/>
    </xf>
    <xf numFmtId="0" fontId="55" fillId="0" borderId="2" xfId="0" applyFont="1" applyBorder="1" applyAlignment="1">
      <alignment vertical="center" wrapText="1"/>
    </xf>
    <xf numFmtId="0" fontId="56" fillId="0" borderId="0" xfId="0" applyFont="1" applyAlignment="1">
      <alignment horizontal="left" vertical="center" wrapText="1"/>
    </xf>
    <xf numFmtId="168" fontId="56" fillId="0" borderId="0" xfId="0" applyNumberFormat="1" applyFont="1" applyAlignment="1">
      <alignment horizontal="left" vertical="center" wrapText="1"/>
    </xf>
    <xf numFmtId="3" fontId="52" fillId="0" borderId="0" xfId="0" applyNumberFormat="1" applyFont="1" applyAlignment="1">
      <alignment vertical="center" wrapText="1"/>
    </xf>
    <xf numFmtId="43" fontId="52" fillId="0" borderId="0" xfId="0" applyNumberFormat="1" applyFont="1" applyAlignment="1">
      <alignment vertical="center" wrapText="1"/>
    </xf>
    <xf numFmtId="169" fontId="3" fillId="13" borderId="2" xfId="0" applyNumberFormat="1" applyFont="1" applyFill="1" applyBorder="1" applyAlignment="1">
      <alignment vertical="center"/>
    </xf>
    <xf numFmtId="43" fontId="4" fillId="10" borderId="2" xfId="2" applyFont="1" applyFill="1" applyBorder="1" applyAlignment="1">
      <alignment vertical="center" wrapText="1"/>
    </xf>
    <xf numFmtId="4" fontId="4" fillId="10" borderId="2" xfId="0" applyNumberFormat="1" applyFont="1" applyFill="1" applyBorder="1" applyAlignment="1">
      <alignment vertical="center" wrapText="1"/>
    </xf>
    <xf numFmtId="169" fontId="37" fillId="10" borderId="0" xfId="0" applyNumberFormat="1" applyFont="1" applyFill="1" applyAlignment="1">
      <alignment vertical="center" wrapText="1"/>
    </xf>
    <xf numFmtId="43" fontId="36" fillId="0" borderId="0" xfId="0" applyNumberFormat="1" applyFont="1" applyAlignment="1">
      <alignment vertical="center" wrapText="1"/>
    </xf>
    <xf numFmtId="9" fontId="49" fillId="0" borderId="0" xfId="0" applyNumberFormat="1" applyFont="1" applyAlignment="1">
      <alignment vertical="center" wrapText="1"/>
    </xf>
    <xf numFmtId="43" fontId="4" fillId="10" borderId="2" xfId="10" applyFont="1" applyFill="1" applyBorder="1" applyAlignment="1">
      <alignment vertical="center" wrapText="1"/>
    </xf>
    <xf numFmtId="39" fontId="4" fillId="2" borderId="2" xfId="10" applyNumberFormat="1" applyFont="1" applyFill="1" applyBorder="1" applyAlignment="1">
      <alignment vertical="center" wrapText="1"/>
    </xf>
    <xf numFmtId="10" fontId="9" fillId="4" borderId="2" xfId="11" applyNumberFormat="1" applyFont="1" applyFill="1" applyBorder="1" applyAlignment="1">
      <alignment vertical="center" wrapText="1"/>
    </xf>
    <xf numFmtId="8" fontId="4" fillId="0" borderId="2" xfId="10" applyNumberFormat="1" applyFont="1" applyBorder="1" applyAlignment="1">
      <alignment horizontal="center" vertical="center"/>
    </xf>
    <xf numFmtId="10" fontId="15" fillId="0" borderId="2" xfId="11" applyNumberFormat="1" applyFont="1" applyFill="1" applyBorder="1" applyAlignment="1">
      <alignment horizontal="center" vertical="center" wrapText="1"/>
    </xf>
    <xf numFmtId="9" fontId="15" fillId="0" borderId="2" xfId="11" applyFont="1" applyFill="1" applyBorder="1" applyAlignment="1">
      <alignment horizontal="center" vertical="center" wrapText="1"/>
    </xf>
    <xf numFmtId="4" fontId="15" fillId="0" borderId="2" xfId="11" applyNumberFormat="1" applyFont="1" applyFill="1" applyBorder="1" applyAlignment="1">
      <alignment horizontal="center" vertical="center" wrapText="1"/>
    </xf>
    <xf numFmtId="10" fontId="15" fillId="0" borderId="8" xfId="11" applyNumberFormat="1" applyFont="1" applyFill="1" applyBorder="1" applyAlignment="1">
      <alignment horizontal="center" vertical="center" wrapText="1"/>
    </xf>
    <xf numFmtId="43" fontId="4" fillId="0" borderId="2" xfId="10" applyFont="1" applyFill="1" applyBorder="1" applyAlignment="1">
      <alignment horizontal="center" vertical="center"/>
    </xf>
    <xf numFmtId="43" fontId="23" fillId="0" borderId="2" xfId="10" applyFont="1" applyFill="1" applyBorder="1" applyAlignment="1">
      <alignment horizontal="center" vertical="center"/>
    </xf>
    <xf numFmtId="169" fontId="4" fillId="0" borderId="0" xfId="10" applyNumberFormat="1" applyFont="1" applyFill="1" applyBorder="1" applyAlignment="1">
      <alignment vertical="center"/>
    </xf>
    <xf numFmtId="10" fontId="24" fillId="0" borderId="5" xfId="11" applyNumberFormat="1" applyFont="1" applyBorder="1" applyAlignment="1">
      <alignment horizontal="center" vertical="center"/>
    </xf>
    <xf numFmtId="10" fontId="3" fillId="0" borderId="0" xfId="11" applyNumberFormat="1" applyFont="1" applyAlignment="1">
      <alignment horizontal="center" vertical="center" wrapText="1"/>
    </xf>
    <xf numFmtId="10" fontId="16" fillId="0" borderId="0" xfId="11" applyNumberFormat="1" applyFont="1" applyAlignment="1">
      <alignment vertical="center"/>
    </xf>
    <xf numFmtId="170" fontId="16" fillId="0" borderId="0" xfId="11" applyNumberFormat="1" applyFont="1" applyFill="1" applyBorder="1" applyAlignment="1">
      <alignment vertical="center"/>
    </xf>
    <xf numFmtId="9" fontId="3" fillId="0" borderId="0" xfId="11" applyFont="1" applyFill="1" applyBorder="1" applyAlignment="1">
      <alignment vertical="center"/>
    </xf>
    <xf numFmtId="44" fontId="3" fillId="0" borderId="2" xfId="12" applyFont="1" applyFill="1" applyBorder="1" applyAlignment="1">
      <alignment vertical="center" wrapText="1"/>
    </xf>
    <xf numFmtId="10" fontId="3" fillId="6" borderId="2" xfId="11" applyNumberFormat="1" applyFont="1" applyFill="1" applyBorder="1" applyAlignment="1">
      <alignment vertical="center"/>
    </xf>
    <xf numFmtId="0" fontId="36" fillId="0" borderId="0" xfId="0" applyFont="1" applyAlignment="1">
      <alignment horizontal="left" vertical="center" wrapText="1"/>
    </xf>
    <xf numFmtId="3" fontId="52" fillId="12" borderId="2" xfId="0" applyNumberFormat="1" applyFont="1" applyFill="1" applyBorder="1" applyAlignment="1">
      <alignment vertical="center" wrapText="1"/>
    </xf>
    <xf numFmtId="8" fontId="4" fillId="0" borderId="2" xfId="10" applyNumberFormat="1" applyFont="1" applyFill="1" applyBorder="1" applyAlignment="1">
      <alignment horizontal="center" vertical="center"/>
    </xf>
    <xf numFmtId="169" fontId="4" fillId="0" borderId="2" xfId="10" applyNumberFormat="1" applyFont="1" applyFill="1" applyBorder="1" applyAlignment="1">
      <alignment vertical="center"/>
    </xf>
    <xf numFmtId="0" fontId="21" fillId="0" borderId="0" xfId="13" applyAlignment="1" applyProtection="1">
      <alignment vertical="center" wrapText="1"/>
    </xf>
    <xf numFmtId="169" fontId="37" fillId="0" borderId="0" xfId="10" applyNumberFormat="1" applyFont="1" applyAlignment="1">
      <alignment vertical="center" wrapText="1"/>
    </xf>
    <xf numFmtId="9" fontId="36" fillId="0" borderId="0" xfId="11" applyFont="1" applyAlignment="1">
      <alignment vertical="center"/>
    </xf>
    <xf numFmtId="9" fontId="36" fillId="0" borderId="0" xfId="11" applyFont="1" applyBorder="1" applyAlignment="1">
      <alignment vertical="center"/>
    </xf>
    <xf numFmtId="169" fontId="37" fillId="0" borderId="0" xfId="10" applyNumberFormat="1" applyFont="1" applyBorder="1" applyAlignment="1">
      <alignment vertical="center" wrapText="1"/>
    </xf>
    <xf numFmtId="169" fontId="37" fillId="0" borderId="2" xfId="10" applyNumberFormat="1" applyFont="1" applyBorder="1" applyAlignment="1">
      <alignment vertical="center" wrapText="1"/>
    </xf>
    <xf numFmtId="43" fontId="36" fillId="0" borderId="0" xfId="0" applyNumberFormat="1" applyFont="1" applyAlignment="1">
      <alignment vertical="center"/>
    </xf>
    <xf numFmtId="9" fontId="37" fillId="0" borderId="2" xfId="11" applyFont="1" applyBorder="1" applyAlignment="1">
      <alignment vertical="center" wrapText="1"/>
    </xf>
    <xf numFmtId="169" fontId="38" fillId="0" borderId="0" xfId="10" applyNumberFormat="1" applyFont="1" applyBorder="1" applyAlignment="1">
      <alignment vertical="center" wrapText="1"/>
    </xf>
    <xf numFmtId="169" fontId="39" fillId="0" borderId="0" xfId="10" applyNumberFormat="1" applyFont="1" applyBorder="1" applyAlignment="1">
      <alignment vertical="center" wrapText="1"/>
    </xf>
    <xf numFmtId="169" fontId="40" fillId="0" borderId="2" xfId="10" applyNumberFormat="1" applyFont="1" applyBorder="1" applyAlignment="1">
      <alignment horizontal="center" vertical="center" wrapText="1"/>
    </xf>
    <xf numFmtId="0" fontId="41" fillId="0" borderId="2" xfId="13" applyFont="1" applyBorder="1" applyAlignment="1" applyProtection="1">
      <alignment horizontal="center" vertical="center"/>
    </xf>
    <xf numFmtId="9" fontId="32" fillId="0" borderId="2" xfId="11" applyFont="1" applyBorder="1" applyAlignment="1">
      <alignment horizontal="center" vertical="center" wrapText="1"/>
    </xf>
    <xf numFmtId="169" fontId="43" fillId="5" borderId="2" xfId="10" applyNumberFormat="1" applyFont="1" applyFill="1" applyBorder="1" applyAlignment="1">
      <alignment vertical="center" wrapText="1"/>
    </xf>
    <xf numFmtId="9" fontId="44" fillId="8" borderId="2" xfId="11" applyFont="1" applyFill="1" applyBorder="1" applyAlignment="1">
      <alignment vertical="center"/>
    </xf>
    <xf numFmtId="169" fontId="36" fillId="0" borderId="2" xfId="10" applyNumberFormat="1" applyFont="1" applyFill="1" applyBorder="1" applyAlignment="1">
      <alignment horizontal="center" vertical="center"/>
    </xf>
    <xf numFmtId="10" fontId="45" fillId="0" borderId="2" xfId="11" applyNumberFormat="1" applyFont="1" applyFill="1" applyBorder="1" applyAlignment="1">
      <alignment horizontal="center" vertical="center" wrapText="1"/>
    </xf>
    <xf numFmtId="43" fontId="36" fillId="0" borderId="2" xfId="10" applyFont="1" applyFill="1" applyBorder="1" applyAlignment="1">
      <alignment vertical="center"/>
    </xf>
    <xf numFmtId="9" fontId="36" fillId="0" borderId="2" xfId="11" applyFont="1" applyFill="1" applyBorder="1" applyAlignment="1">
      <alignment vertical="center"/>
    </xf>
    <xf numFmtId="169" fontId="36" fillId="0" borderId="2" xfId="10" applyNumberFormat="1" applyFont="1" applyBorder="1" applyAlignment="1">
      <alignment horizontal="center" vertical="center"/>
    </xf>
    <xf numFmtId="169" fontId="40" fillId="0" borderId="2" xfId="10" applyNumberFormat="1" applyFont="1" applyFill="1" applyBorder="1" applyAlignment="1">
      <alignment horizontal="center" vertical="center" wrapText="1"/>
    </xf>
    <xf numFmtId="9" fontId="36" fillId="0" borderId="2" xfId="9" applyFont="1" applyFill="1" applyBorder="1" applyAlignment="1">
      <alignment vertical="center"/>
    </xf>
    <xf numFmtId="169" fontId="40" fillId="0" borderId="0" xfId="10" applyNumberFormat="1" applyFont="1" applyFill="1" applyBorder="1" applyAlignment="1">
      <alignment horizontal="right" vertical="center" wrapText="1"/>
    </xf>
    <xf numFmtId="169" fontId="47" fillId="0" borderId="0" xfId="10" applyNumberFormat="1" applyFont="1" applyFill="1" applyBorder="1" applyAlignment="1">
      <alignment horizontal="right" vertical="center" wrapText="1"/>
    </xf>
    <xf numFmtId="169" fontId="47" fillId="0" borderId="0" xfId="10" applyNumberFormat="1" applyFont="1" applyFill="1" applyBorder="1" applyAlignment="1">
      <alignment vertical="center" wrapText="1"/>
    </xf>
    <xf numFmtId="9" fontId="35" fillId="0" borderId="0" xfId="11" applyFont="1" applyFill="1" applyBorder="1" applyAlignment="1">
      <alignment vertical="center"/>
    </xf>
    <xf numFmtId="169" fontId="47" fillId="0" borderId="0" xfId="10" applyNumberFormat="1" applyFont="1" applyFill="1" applyBorder="1" applyAlignment="1">
      <alignment vertical="center"/>
    </xf>
    <xf numFmtId="169" fontId="47" fillId="0" borderId="0" xfId="10" applyNumberFormat="1" applyFont="1" applyAlignment="1">
      <alignment vertical="center"/>
    </xf>
    <xf numFmtId="9" fontId="35" fillId="0" borderId="0" xfId="11" applyFont="1" applyAlignment="1">
      <alignment vertical="center"/>
    </xf>
    <xf numFmtId="169" fontId="37" fillId="0" borderId="0" xfId="10" applyNumberFormat="1" applyFont="1" applyAlignment="1">
      <alignment vertical="center"/>
    </xf>
    <xf numFmtId="169" fontId="4" fillId="0" borderId="2" xfId="2" applyNumberFormat="1" applyFont="1" applyFill="1" applyBorder="1" applyAlignment="1">
      <alignment vertical="center"/>
    </xf>
    <xf numFmtId="0" fontId="52" fillId="15" borderId="2" xfId="0" applyFont="1" applyFill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169" fontId="4" fillId="10" borderId="2" xfId="0" applyNumberFormat="1" applyFont="1" applyFill="1" applyBorder="1" applyAlignment="1">
      <alignment vertical="center"/>
    </xf>
    <xf numFmtId="0" fontId="52" fillId="15" borderId="2" xfId="0" applyFont="1" applyFill="1" applyBorder="1" applyAlignment="1">
      <alignment horizontal="right" vertical="center"/>
    </xf>
    <xf numFmtId="169" fontId="4" fillId="0" borderId="2" xfId="0" applyNumberFormat="1" applyFont="1" applyBorder="1" applyAlignment="1">
      <alignment vertical="center"/>
    </xf>
    <xf numFmtId="0" fontId="58" fillId="0" borderId="0" xfId="8" applyFont="1" applyAlignment="1">
      <alignment vertical="center"/>
    </xf>
    <xf numFmtId="0" fontId="58" fillId="15" borderId="0" xfId="8" applyFont="1" applyFill="1" applyAlignment="1">
      <alignment horizontal="center" vertical="center"/>
    </xf>
    <xf numFmtId="0" fontId="60" fillId="15" borderId="2" xfId="8" applyFont="1" applyFill="1" applyBorder="1" applyAlignment="1">
      <alignment horizontal="center" vertical="center"/>
    </xf>
    <xf numFmtId="0" fontId="58" fillId="0" borderId="2" xfId="8" applyFont="1" applyBorder="1" applyAlignment="1">
      <alignment horizontal="center" vertical="center"/>
    </xf>
    <xf numFmtId="0" fontId="60" fillId="0" borderId="2" xfId="8" applyFont="1" applyBorder="1" applyAlignment="1">
      <alignment vertical="center"/>
    </xf>
    <xf numFmtId="0" fontId="58" fillId="0" borderId="2" xfId="8" quotePrefix="1" applyFont="1" applyBorder="1" applyAlignment="1">
      <alignment vertical="center" wrapText="1"/>
    </xf>
    <xf numFmtId="0" fontId="58" fillId="0" borderId="2" xfId="8" applyFont="1" applyBorder="1" applyAlignment="1">
      <alignment vertical="center"/>
    </xf>
    <xf numFmtId="0" fontId="60" fillId="0" borderId="2" xfId="8" applyFont="1" applyBorder="1" applyAlignment="1">
      <alignment horizontal="left" vertical="center"/>
    </xf>
    <xf numFmtId="0" fontId="58" fillId="0" borderId="2" xfId="8" applyFont="1" applyBorder="1" applyAlignment="1">
      <alignment vertical="center" wrapText="1"/>
    </xf>
    <xf numFmtId="0" fontId="58" fillId="0" borderId="2" xfId="8" quotePrefix="1" applyFont="1" applyBorder="1" applyAlignment="1">
      <alignment vertical="center"/>
    </xf>
    <xf numFmtId="0" fontId="58" fillId="0" borderId="6" xfId="8" applyFont="1" applyBorder="1" applyAlignment="1">
      <alignment horizontal="center" vertical="center"/>
    </xf>
    <xf numFmtId="0" fontId="60" fillId="0" borderId="6" xfId="8" applyFont="1" applyBorder="1" applyAlignment="1">
      <alignment horizontal="left" vertical="center"/>
    </xf>
    <xf numFmtId="16" fontId="58" fillId="0" borderId="0" xfId="8" quotePrefix="1" applyNumberFormat="1" applyFont="1" applyAlignment="1">
      <alignment vertical="center"/>
    </xf>
    <xf numFmtId="0" fontId="58" fillId="0" borderId="0" xfId="8" quotePrefix="1" applyFont="1" applyAlignment="1">
      <alignment vertical="center"/>
    </xf>
    <xf numFmtId="0" fontId="58" fillId="0" borderId="0" xfId="8" applyFont="1" applyAlignment="1">
      <alignment horizontal="center" vertical="center"/>
    </xf>
    <xf numFmtId="171" fontId="51" fillId="0" borderId="0" xfId="0" applyNumberFormat="1" applyFont="1" applyAlignment="1">
      <alignment vertical="center" wrapText="1"/>
    </xf>
    <xf numFmtId="0" fontId="21" fillId="0" borderId="2" xfId="4" applyBorder="1" applyAlignment="1" applyProtection="1">
      <alignment vertical="center" wrapText="1"/>
    </xf>
    <xf numFmtId="0" fontId="57" fillId="14" borderId="0" xfId="8" applyFont="1" applyFill="1" applyAlignment="1">
      <alignment horizontal="center" vertical="center"/>
    </xf>
    <xf numFmtId="0" fontId="58" fillId="0" borderId="2" xfId="8" applyFont="1" applyBorder="1" applyAlignment="1">
      <alignment horizontal="center" vertical="center"/>
    </xf>
    <xf numFmtId="0" fontId="60" fillId="0" borderId="2" xfId="8" applyFont="1" applyBorder="1" applyAlignment="1">
      <alignment horizontal="left" vertical="center"/>
    </xf>
    <xf numFmtId="0" fontId="60" fillId="0" borderId="6" xfId="8" applyFont="1" applyBorder="1" applyAlignment="1">
      <alignment horizontal="left" vertical="center"/>
    </xf>
    <xf numFmtId="0" fontId="60" fillId="0" borderId="11" xfId="8" applyFont="1" applyBorder="1" applyAlignment="1">
      <alignment horizontal="left" vertical="center"/>
    </xf>
    <xf numFmtId="0" fontId="60" fillId="0" borderId="7" xfId="8" applyFont="1" applyBorder="1" applyAlignment="1">
      <alignment horizontal="left" vertical="center"/>
    </xf>
    <xf numFmtId="0" fontId="58" fillId="0" borderId="6" xfId="8" applyFont="1" applyBorder="1" applyAlignment="1">
      <alignment horizontal="center" vertical="center"/>
    </xf>
    <xf numFmtId="0" fontId="58" fillId="0" borderId="11" xfId="8" applyFont="1" applyBorder="1" applyAlignment="1">
      <alignment horizontal="center" vertical="center"/>
    </xf>
    <xf numFmtId="0" fontId="58" fillId="0" borderId="7" xfId="8" applyFont="1" applyBorder="1" applyAlignment="1">
      <alignment horizontal="center" vertical="center"/>
    </xf>
    <xf numFmtId="0" fontId="21" fillId="0" borderId="6" xfId="4" applyBorder="1" applyAlignment="1" applyProtection="1">
      <alignment horizontal="left" vertical="center" wrapText="1"/>
    </xf>
    <xf numFmtId="0" fontId="58" fillId="0" borderId="11" xfId="8" applyFont="1" applyBorder="1" applyAlignment="1">
      <alignment horizontal="left" vertical="center" wrapText="1"/>
    </xf>
    <xf numFmtId="0" fontId="58" fillId="0" borderId="7" xfId="8" applyFont="1" applyBorder="1" applyAlignment="1">
      <alignment horizontal="left" vertical="center" wrapText="1"/>
    </xf>
    <xf numFmtId="0" fontId="60" fillId="0" borderId="2" xfId="8" applyFont="1" applyBorder="1" applyAlignment="1">
      <alignment horizontal="left" vertical="center" wrapText="1"/>
    </xf>
    <xf numFmtId="0" fontId="58" fillId="15" borderId="0" xfId="8" applyFont="1" applyFill="1" applyAlignment="1">
      <alignment horizontal="left" vertical="center" wrapText="1"/>
    </xf>
    <xf numFmtId="0" fontId="58" fillId="0" borderId="6" xfId="8" applyFont="1" applyBorder="1" applyAlignment="1">
      <alignment horizontal="left" vertical="center" wrapText="1"/>
    </xf>
    <xf numFmtId="0" fontId="58" fillId="0" borderId="7" xfId="8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left" vertical="center" wrapText="1"/>
    </xf>
    <xf numFmtId="0" fontId="36" fillId="0" borderId="0" xfId="0" applyFont="1" applyAlignment="1">
      <alignment horizontal="left" vertical="center" wrapText="1"/>
    </xf>
  </cellXfs>
  <cellStyles count="14">
    <cellStyle name="Comma" xfId="1" builtinId="3"/>
    <cellStyle name="Comma 2" xfId="2" xr:uid="{00000000-0005-0000-0000-000001000000}"/>
    <cellStyle name="Comma 2 2" xfId="10" xr:uid="{00000000-0005-0000-0000-000002000000}"/>
    <cellStyle name="Currency 2" xfId="3" xr:uid="{00000000-0005-0000-0000-000003000000}"/>
    <cellStyle name="Currency 2 2" xfId="12" xr:uid="{00000000-0005-0000-0000-000004000000}"/>
    <cellStyle name="Hyperlink" xfId="4" builtinId="8"/>
    <cellStyle name="Hyperlink 2" xfId="13" xr:uid="{CE07522B-6418-4572-9EDF-DC91EECC46F1}"/>
    <cellStyle name="Normal" xfId="0" builtinId="0"/>
    <cellStyle name="Normal 2" xfId="5" xr:uid="{00000000-0005-0000-0000-000007000000}"/>
    <cellStyle name="Normal 3" xfId="8" xr:uid="{00000000-0005-0000-0000-000008000000}"/>
    <cellStyle name="Percent" xfId="9" builtinId="5"/>
    <cellStyle name="Percent 2" xfId="6" xr:uid="{00000000-0005-0000-0000-00000A000000}"/>
    <cellStyle name="Percent 2 2" xfId="11" xr:uid="{00000000-0005-0000-0000-00000B000000}"/>
    <cellStyle name="標準_Answer Spec. Guide 2002 ADDITIONAL" xfId="7" xr:uid="{00000000-0005-0000-0000-00000C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123184</xdr:colOff>
      <xdr:row>13</xdr:row>
      <xdr:rowOff>259772</xdr:rowOff>
    </xdr:from>
    <xdr:to>
      <xdr:col>2</xdr:col>
      <xdr:colOff>2597727</xdr:colOff>
      <xdr:row>13</xdr:row>
      <xdr:rowOff>3284104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F34D1B-B9C8-673D-7409-5E50774055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481" r="9550" b="12630"/>
        <a:stretch>
          <a:fillRect/>
        </a:stretch>
      </xdr:blipFill>
      <xdr:spPr>
        <a:xfrm>
          <a:off x="3883703" y="4737759"/>
          <a:ext cx="2471368" cy="30275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204107</xdr:colOff>
      <xdr:row>13</xdr:row>
      <xdr:rowOff>326571</xdr:rowOff>
    </xdr:from>
    <xdr:to>
      <xdr:col>2</xdr:col>
      <xdr:colOff>1264424</xdr:colOff>
      <xdr:row>13</xdr:row>
      <xdr:rowOff>1945619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1EEDEF-5A27-41FC-9C92-E068F448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5582" y="4812846"/>
          <a:ext cx="1060317" cy="16190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136072</xdr:colOff>
      <xdr:row>13</xdr:row>
      <xdr:rowOff>571501</xdr:rowOff>
    </xdr:from>
    <xdr:to>
      <xdr:col>2</xdr:col>
      <xdr:colOff>2354036</xdr:colOff>
      <xdr:row>13</xdr:row>
      <xdr:rowOff>2482057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90A8D-B7F5-4797-A80E-EB9D34993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3465" y="5075465"/>
          <a:ext cx="2217964" cy="19105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2772336</xdr:colOff>
      <xdr:row>16</xdr:row>
      <xdr:rowOff>167714</xdr:rowOff>
    </xdr:from>
    <xdr:to>
      <xdr:col>1</xdr:col>
      <xdr:colOff>4105836</xdr:colOff>
      <xdr:row>16</xdr:row>
      <xdr:rowOff>1026014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EE6F3-936A-4E0E-A319-FB564298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1277" y="9569449"/>
          <a:ext cx="1336675" cy="858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163287</xdr:colOff>
      <xdr:row>13</xdr:row>
      <xdr:rowOff>353786</xdr:rowOff>
    </xdr:from>
    <xdr:to>
      <xdr:col>2</xdr:col>
      <xdr:colOff>1115787</xdr:colOff>
      <xdr:row>13</xdr:row>
      <xdr:rowOff>2108955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B235EF-F99E-46A0-BD1C-C3F0DC947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1112" y="4865461"/>
          <a:ext cx="952500" cy="1755169"/>
        </a:xfrm>
        <a:prstGeom prst="rect">
          <a:avLst/>
        </a:prstGeom>
      </xdr:spPr>
    </xdr:pic>
    <xdr:clientData/>
  </xdr:twoCellAnchor>
  <xdr:twoCellAnchor editAs="oneCell">
    <xdr:from>
      <xdr:col>1</xdr:col>
      <xdr:colOff>81643</xdr:colOff>
      <xdr:row>18</xdr:row>
      <xdr:rowOff>149679</xdr:rowOff>
    </xdr:from>
    <xdr:to>
      <xdr:col>2</xdr:col>
      <xdr:colOff>1212223</xdr:colOff>
      <xdr:row>26</xdr:row>
      <xdr:rowOff>8886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68840E7-5E56-4654-9641-C80C0965C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70568" y="8061779"/>
          <a:ext cx="5026305" cy="14784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lumi.cn/en/lumi-ergo/office-accessories/cable-management/cc10-15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fwspacevn.sharepoint.com/:x:/r/sites/DATA84/_layouts/15/Doc.aspx?sourcedoc=%7B1CAFDA79-CF92-481C-B951-935B03043AFA%7D&amp;file=3.%20Installation%20Price%20list%20(update%202025).xlsx&amp;action=default&amp;mobileredirect=true" TargetMode="External"/><Relationship Id="rId2" Type="http://schemas.openxmlformats.org/officeDocument/2006/relationships/hyperlink" Target="https://tfwspacevn.sharepoint.com/:x:/r/sites/DATA84/_layouts/15/Doc.aspx?sourcedoc=%7B80AF788E-EBAB-477E-99B1-17DFA39AFCD9%7D&amp;file=FWD%20Updating%20Quotation.xlsx&amp;action=default&amp;mobileredirect=true" TargetMode="External"/><Relationship Id="rId1" Type="http://schemas.openxmlformats.org/officeDocument/2006/relationships/hyperlink" Target="https://tfwspacevn.sharepoint.com/:x:/r/sites/DATA84/_layouts/15/Doc.aspx?sourcedoc=%7BAA30BE71-B5C6-4376-A981-ED8F505D1CC8%7D&amp;file=Packing%20Dimension.xlsx&amp;action=default&amp;mobileredirect=true" TargetMode="External"/><Relationship Id="rId4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33C4-3015-44CA-BCC4-D3E2047978C7}">
  <dimension ref="A1"/>
  <sheetViews>
    <sheetView workbookViewId="0"/>
  </sheetViews>
  <sheetFormatPr defaultRowHeight="12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DE22A-A547-4F2A-8E19-4140E98CF3BA}">
  <dimension ref="A2:E11"/>
  <sheetViews>
    <sheetView zoomScale="130" zoomScaleNormal="130" workbookViewId="0">
      <selection activeCell="E16" sqref="E16"/>
    </sheetView>
  </sheetViews>
  <sheetFormatPr defaultRowHeight="12.5"/>
  <cols>
    <col min="2" max="2" width="37.7265625" bestFit="1" customWidth="1"/>
    <col min="3" max="3" width="8" bestFit="1" customWidth="1"/>
    <col min="4" max="4" width="15" bestFit="1" customWidth="1"/>
    <col min="5" max="5" width="15.453125" customWidth="1"/>
  </cols>
  <sheetData>
    <row r="2" spans="1:5" ht="13">
      <c r="A2" s="100" t="s">
        <v>63</v>
      </c>
      <c r="B2" s="161"/>
      <c r="C2" s="88"/>
      <c r="D2" s="100" t="s">
        <v>64</v>
      </c>
      <c r="E2" s="101">
        <f>Import!AH13</f>
        <v>27000</v>
      </c>
    </row>
    <row r="3" spans="1:5">
      <c r="A3" s="88"/>
      <c r="B3" s="88"/>
      <c r="C3" s="88"/>
      <c r="D3" s="88"/>
      <c r="E3" s="88"/>
    </row>
    <row r="4" spans="1:5">
      <c r="A4" s="89" t="s">
        <v>55</v>
      </c>
      <c r="B4" s="89" t="s">
        <v>56</v>
      </c>
      <c r="C4" s="89" t="s">
        <v>57</v>
      </c>
      <c r="D4" s="89" t="s">
        <v>58</v>
      </c>
      <c r="E4" s="89" t="s">
        <v>59</v>
      </c>
    </row>
    <row r="5" spans="1:5">
      <c r="A5" s="89">
        <v>1</v>
      </c>
      <c r="B5" s="90" t="s">
        <v>95</v>
      </c>
      <c r="C5" s="91">
        <v>1</v>
      </c>
      <c r="D5" s="91">
        <f>E2*Import!X15</f>
        <v>337058010</v>
      </c>
      <c r="E5" s="91">
        <f>D5*C5</f>
        <v>337058010</v>
      </c>
    </row>
    <row r="6" spans="1:5">
      <c r="A6" s="89">
        <v>2</v>
      </c>
      <c r="B6" s="90" t="s">
        <v>96</v>
      </c>
      <c r="C6" s="91">
        <v>1</v>
      </c>
      <c r="D6" s="92"/>
      <c r="E6" s="91">
        <f>D6*C6</f>
        <v>0</v>
      </c>
    </row>
    <row r="7" spans="1:5">
      <c r="A7" s="89">
        <v>3</v>
      </c>
      <c r="B7" s="90" t="s">
        <v>60</v>
      </c>
      <c r="C7" s="91">
        <v>1</v>
      </c>
      <c r="D7" s="92">
        <v>5000000</v>
      </c>
      <c r="E7" s="91">
        <f>D7*C7</f>
        <v>5000000</v>
      </c>
    </row>
    <row r="8" spans="1:5">
      <c r="A8" s="93"/>
      <c r="B8" s="88"/>
      <c r="C8" s="93"/>
      <c r="D8" s="94"/>
      <c r="E8" s="95"/>
    </row>
    <row r="9" spans="1:5" ht="13">
      <c r="A9" s="88"/>
      <c r="B9" s="96" t="s">
        <v>54</v>
      </c>
      <c r="C9" s="96"/>
      <c r="D9" s="96"/>
      <c r="E9" s="97">
        <f>SUM(E5:E7)</f>
        <v>342058010</v>
      </c>
    </row>
    <row r="10" spans="1:5" ht="13">
      <c r="A10" s="88"/>
      <c r="B10" s="96" t="s">
        <v>61</v>
      </c>
      <c r="C10" s="96"/>
      <c r="D10" s="97"/>
      <c r="E10" s="97" t="e">
        <f>(Import!AH14*Import!E14+Import!#REF!*Import!#REF!)</f>
        <v>#REF!</v>
      </c>
    </row>
    <row r="11" spans="1:5" ht="13">
      <c r="B11" s="96" t="s">
        <v>62</v>
      </c>
      <c r="C11" s="98"/>
      <c r="D11" s="98"/>
      <c r="E11" s="99" t="e">
        <f>(E10-E9)/E10</f>
        <v>#REF!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E4907-F932-476D-BCBC-6ED835C1A4E7}">
  <sheetPr>
    <pageSetUpPr fitToPage="1"/>
  </sheetPr>
  <dimension ref="A1:AJ448"/>
  <sheetViews>
    <sheetView tabSelected="1" zoomScale="77" zoomScaleNormal="77" zoomScaleSheetLayoutView="90" workbookViewId="0">
      <selection activeCell="J8" sqref="J8"/>
    </sheetView>
  </sheetViews>
  <sheetFormatPr defaultColWidth="11.453125" defaultRowHeight="14"/>
  <cols>
    <col min="1" max="1" width="4.26953125" style="43" customWidth="1"/>
    <col min="2" max="2" width="49.54296875" style="43" customWidth="1"/>
    <col min="3" max="3" width="38.54296875" style="43" customWidth="1"/>
    <col min="4" max="4" width="10.453125" style="43" bestFit="1" customWidth="1"/>
    <col min="5" max="5" width="12.7265625" style="43" customWidth="1"/>
    <col min="6" max="8" width="12.7265625" style="59" customWidth="1"/>
    <col min="9" max="9" width="17.453125" style="59" bestFit="1" customWidth="1"/>
    <col min="10" max="10" width="12.7265625" style="43" customWidth="1"/>
    <col min="11" max="11" width="14.81640625" style="43" bestFit="1" customWidth="1"/>
    <col min="12" max="15" width="12.7265625" style="43" customWidth="1"/>
    <col min="16" max="16" width="17.7265625" style="43" bestFit="1" customWidth="1"/>
    <col min="17" max="17" width="15" style="43" bestFit="1" customWidth="1"/>
    <col min="18" max="18" width="12.7265625" style="43" customWidth="1"/>
    <col min="19" max="19" width="13" style="43" customWidth="1"/>
    <col min="20" max="31" width="12.7265625" style="43" customWidth="1"/>
    <col min="32" max="32" width="12.7265625" style="45" customWidth="1"/>
    <col min="33" max="33" width="12.7265625" style="65" customWidth="1"/>
    <col min="34" max="34" width="15.7265625" style="43" bestFit="1" customWidth="1"/>
    <col min="35" max="35" width="21.26953125" style="43" customWidth="1"/>
    <col min="36" max="36" width="13.7265625" style="43" bestFit="1" customWidth="1"/>
    <col min="37" max="16384" width="11.453125" style="43"/>
  </cols>
  <sheetData>
    <row r="1" spans="1:36" ht="42.75" customHeight="1">
      <c r="A1" s="1"/>
      <c r="B1" s="300" t="s">
        <v>79</v>
      </c>
      <c r="C1" s="300"/>
      <c r="D1" s="2"/>
      <c r="E1" s="301" t="s">
        <v>92</v>
      </c>
      <c r="F1" s="302"/>
      <c r="G1" s="301" t="s">
        <v>0</v>
      </c>
      <c r="H1" s="302"/>
      <c r="I1" s="2"/>
      <c r="J1" s="2"/>
      <c r="Q1" s="303" t="s">
        <v>97</v>
      </c>
      <c r="R1" s="303"/>
      <c r="T1" s="2"/>
      <c r="U1" s="197"/>
      <c r="V1" s="197">
        <v>25000</v>
      </c>
      <c r="W1" s="2"/>
      <c r="X1" s="2"/>
      <c r="AF1" s="2"/>
      <c r="AG1" s="2"/>
    </row>
    <row r="2" spans="1:36" ht="23.25" customHeight="1">
      <c r="A2" s="1"/>
      <c r="B2" s="192" t="s">
        <v>82</v>
      </c>
      <c r="C2" s="164"/>
      <c r="D2" s="204">
        <v>1.3</v>
      </c>
      <c r="E2" s="72" t="s">
        <v>120</v>
      </c>
      <c r="F2" s="200">
        <v>350</v>
      </c>
      <c r="G2" s="72" t="str">
        <f>E2</f>
        <v>LCL</v>
      </c>
      <c r="H2" s="201">
        <f>50*5</f>
        <v>250</v>
      </c>
      <c r="I2" s="198">
        <f>F2+H2+T2</f>
        <v>770</v>
      </c>
      <c r="J2" s="2">
        <f>800+800+350</f>
        <v>1950</v>
      </c>
      <c r="P2" s="2"/>
      <c r="Q2" s="72" t="str">
        <f>G2</f>
        <v>LCL</v>
      </c>
      <c r="R2" s="5">
        <f>SUM(T2:T7)</f>
        <v>500</v>
      </c>
      <c r="S2" s="43" t="s">
        <v>98</v>
      </c>
      <c r="T2" s="105">
        <v>170</v>
      </c>
      <c r="U2" s="43">
        <f>(5+15+5)*F5+60</f>
        <v>167.5</v>
      </c>
      <c r="AF2" s="2"/>
    </row>
    <row r="3" spans="1:36" ht="20.25" customHeight="1">
      <c r="A3" s="1"/>
      <c r="B3" s="1"/>
      <c r="C3" s="1"/>
      <c r="D3" s="2"/>
      <c r="E3" s="4" t="s">
        <v>2</v>
      </c>
      <c r="F3" s="73">
        <v>0</v>
      </c>
      <c r="G3" s="4" t="s">
        <v>2</v>
      </c>
      <c r="H3" s="5">
        <v>0</v>
      </c>
      <c r="I3" s="3"/>
      <c r="J3" s="2"/>
      <c r="P3" s="2"/>
      <c r="Q3" s="4" t="s">
        <v>2</v>
      </c>
      <c r="R3" s="5">
        <v>0</v>
      </c>
      <c r="S3" s="43" t="s">
        <v>86</v>
      </c>
      <c r="T3" s="105">
        <v>70</v>
      </c>
      <c r="AF3" s="2"/>
    </row>
    <row r="4" spans="1:36" ht="21" customHeight="1">
      <c r="A4" s="2"/>
      <c r="B4" s="195" t="s">
        <v>3</v>
      </c>
      <c r="C4" s="196">
        <f ca="1" xml:space="preserve"> NOW()</f>
        <v>46304.46345023148</v>
      </c>
      <c r="D4" s="2"/>
      <c r="E4" s="4" t="s">
        <v>4</v>
      </c>
      <c r="F4" s="5">
        <v>0</v>
      </c>
      <c r="G4" s="4" t="s">
        <v>4</v>
      </c>
      <c r="H4" s="5">
        <v>0</v>
      </c>
      <c r="I4" s="3"/>
      <c r="J4" s="2"/>
      <c r="P4" s="2"/>
      <c r="Q4" s="4" t="s">
        <v>4</v>
      </c>
      <c r="R4" s="5">
        <v>0</v>
      </c>
      <c r="S4" s="2" t="s">
        <v>93</v>
      </c>
      <c r="T4" s="105">
        <v>100</v>
      </c>
      <c r="V4" s="43">
        <f>1500000+10000*10</f>
        <v>1600000</v>
      </c>
      <c r="W4" s="43">
        <f>V4/25000</f>
        <v>64</v>
      </c>
      <c r="AF4" s="2"/>
      <c r="AG4" s="2"/>
    </row>
    <row r="5" spans="1:36" ht="21.75" customHeight="1">
      <c r="A5" s="2"/>
      <c r="C5" s="162"/>
      <c r="D5" s="2"/>
      <c r="E5" s="4" t="s">
        <v>6</v>
      </c>
      <c r="F5" s="6">
        <f>K15</f>
        <v>4.3</v>
      </c>
      <c r="G5" s="4" t="s">
        <v>6</v>
      </c>
      <c r="H5" s="6">
        <f>K15</f>
        <v>4.3</v>
      </c>
      <c r="I5" s="3"/>
      <c r="J5" s="2"/>
      <c r="P5" s="2"/>
      <c r="Q5" s="4" t="s">
        <v>6</v>
      </c>
      <c r="R5" s="6">
        <f>K15</f>
        <v>4.3</v>
      </c>
      <c r="S5" s="2" t="s">
        <v>65</v>
      </c>
      <c r="T5" s="105">
        <v>100</v>
      </c>
      <c r="U5" s="43">
        <f>1200000*2</f>
        <v>2400000</v>
      </c>
      <c r="V5" s="43">
        <f>U5/25000</f>
        <v>96</v>
      </c>
      <c r="AF5" s="2"/>
      <c r="AG5" s="2"/>
    </row>
    <row r="6" spans="1:36" ht="28">
      <c r="A6" s="2"/>
      <c r="B6" s="8" t="s">
        <v>9</v>
      </c>
      <c r="C6" s="159" t="s">
        <v>10</v>
      </c>
      <c r="D6" s="2"/>
      <c r="E6" s="4" t="s">
        <v>7</v>
      </c>
      <c r="F6" s="6">
        <f>IF(ROUND(F4*F5,2)&gt;F2,ROUND(F4*F5,2)+F3,F2+F3)</f>
        <v>350</v>
      </c>
      <c r="G6" s="4" t="s">
        <v>7</v>
      </c>
      <c r="H6" s="6">
        <f>IF(ROUND(H4*H5,2)&gt;H2,ROUND(H4*H5,2)+H3,H2+H3)</f>
        <v>250</v>
      </c>
      <c r="I6" s="3"/>
      <c r="J6" s="2"/>
      <c r="P6" s="2"/>
      <c r="Q6" s="4" t="s">
        <v>7</v>
      </c>
      <c r="R6" s="6">
        <f>IF(ROUND(R4*R5,2)&gt;R2,ROUND(R4*R5,2)+R3,R2+R3+(R4*R5))</f>
        <v>500</v>
      </c>
      <c r="S6" s="2" t="s">
        <v>66</v>
      </c>
      <c r="T6" s="105">
        <v>30</v>
      </c>
      <c r="W6" s="2"/>
      <c r="X6" s="2"/>
      <c r="AF6" s="2"/>
      <c r="AG6" s="2"/>
    </row>
    <row r="7" spans="1:36" ht="21.75" customHeight="1">
      <c r="A7" s="2"/>
      <c r="B7" s="11" t="s">
        <v>14</v>
      </c>
      <c r="C7" s="13">
        <v>1</v>
      </c>
      <c r="D7" s="8"/>
      <c r="E7" s="4" t="s">
        <v>8</v>
      </c>
      <c r="F7" s="6">
        <f>IF(F5&gt;0,ROUND(F6/F5,2),0)</f>
        <v>81.400000000000006</v>
      </c>
      <c r="G7" s="4" t="s">
        <v>8</v>
      </c>
      <c r="H7" s="6">
        <f>IF(H5&gt;0,ROUND(H6/H5,2),0)</f>
        <v>58.14</v>
      </c>
      <c r="I7" s="3"/>
      <c r="J7" s="2"/>
      <c r="P7" s="2"/>
      <c r="Q7" s="4" t="s">
        <v>8</v>
      </c>
      <c r="R7" s="6">
        <f>IF(R5&gt;0,ROUND(R6/R5,2),0)</f>
        <v>116.28</v>
      </c>
      <c r="S7" s="2" t="s">
        <v>94</v>
      </c>
      <c r="T7" s="105">
        <v>30</v>
      </c>
      <c r="AF7" s="2"/>
      <c r="AG7" s="2"/>
    </row>
    <row r="8" spans="1:36" ht="27" customHeight="1">
      <c r="A8" s="8"/>
      <c r="E8" s="8"/>
      <c r="F8" s="8"/>
      <c r="G8" s="8"/>
      <c r="I8" s="9" t="s">
        <v>11</v>
      </c>
      <c r="J8" s="8"/>
      <c r="P8" s="2"/>
      <c r="T8" s="10" t="s">
        <v>12</v>
      </c>
      <c r="AF8" s="8"/>
      <c r="AG8" s="8"/>
    </row>
    <row r="9" spans="1:36" ht="27" customHeight="1">
      <c r="A9" s="11"/>
      <c r="B9" s="12" t="s">
        <v>13</v>
      </c>
      <c r="C9" s="193" t="s">
        <v>81</v>
      </c>
      <c r="D9" s="11"/>
      <c r="E9" s="11"/>
      <c r="F9" s="11"/>
      <c r="G9" s="11"/>
      <c r="I9" s="74">
        <v>7.4999999999999997E-3</v>
      </c>
      <c r="J9" s="11"/>
      <c r="P9" s="2"/>
      <c r="T9" s="14">
        <v>0.4</v>
      </c>
      <c r="AF9" s="11"/>
      <c r="AG9" s="11"/>
    </row>
    <row r="10" spans="1:36" ht="30.75" customHeight="1">
      <c r="A10" s="2"/>
      <c r="B10" s="15" t="s">
        <v>15</v>
      </c>
      <c r="C10" s="194" t="s">
        <v>153</v>
      </c>
      <c r="D10" s="2"/>
      <c r="E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6" ht="25.5" customHeight="1">
      <c r="A11" s="2"/>
      <c r="B11" s="15" t="s">
        <v>16</v>
      </c>
      <c r="C11" s="194" t="s">
        <v>101</v>
      </c>
      <c r="D11" s="2"/>
      <c r="E11" s="2"/>
      <c r="F11" s="3"/>
      <c r="G11" s="3"/>
      <c r="H11" s="2"/>
      <c r="I11" s="176">
        <f>$I$14*$AH$13</f>
        <v>28965600</v>
      </c>
      <c r="J11" s="176">
        <f>I11*2</f>
        <v>57931200</v>
      </c>
      <c r="K11" s="278">
        <f>I11*2.5</f>
        <v>72414000</v>
      </c>
      <c r="L11" s="177"/>
      <c r="M11" s="177"/>
      <c r="N11" s="177"/>
      <c r="O11" s="177"/>
      <c r="P11" s="176">
        <f>$I$14*$AH$13*2.5</f>
        <v>72414000</v>
      </c>
      <c r="Q11" s="176">
        <f>$I$14*$AH$13*3</f>
        <v>86896800</v>
      </c>
      <c r="T11" s="2"/>
      <c r="U11" s="2"/>
      <c r="V11" s="2"/>
      <c r="W11" s="2"/>
      <c r="X11" s="2"/>
      <c r="Y11" s="298" t="s">
        <v>17</v>
      </c>
      <c r="Z11" s="298"/>
      <c r="AA11" s="298"/>
      <c r="AB11" s="298" t="s">
        <v>18</v>
      </c>
      <c r="AC11" s="298"/>
      <c r="AD11" s="298"/>
      <c r="AE11" s="299"/>
      <c r="AF11" s="297" t="s">
        <v>45</v>
      </c>
      <c r="AG11" s="297"/>
    </row>
    <row r="12" spans="1:36" ht="48.75" customHeight="1">
      <c r="A12" s="16"/>
      <c r="B12" s="17" t="s">
        <v>19</v>
      </c>
      <c r="C12" s="17" t="s">
        <v>80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7" t="s">
        <v>28</v>
      </c>
      <c r="L12" s="17" t="s">
        <v>29</v>
      </c>
      <c r="M12" s="17" t="s">
        <v>27</v>
      </c>
      <c r="N12" s="17" t="s">
        <v>30</v>
      </c>
      <c r="O12" s="17" t="s">
        <v>31</v>
      </c>
      <c r="P12" s="17" t="s">
        <v>89</v>
      </c>
      <c r="Q12" s="17" t="s">
        <v>90</v>
      </c>
      <c r="R12" s="17" t="s">
        <v>91</v>
      </c>
      <c r="S12" s="17" t="s">
        <v>32</v>
      </c>
      <c r="T12" s="17" t="s">
        <v>33</v>
      </c>
      <c r="U12" s="17" t="s">
        <v>99</v>
      </c>
      <c r="V12" s="17" t="s">
        <v>100</v>
      </c>
      <c r="W12" s="17" t="s">
        <v>1</v>
      </c>
      <c r="X12" s="17" t="s">
        <v>34</v>
      </c>
      <c r="Y12" s="17" t="s">
        <v>35</v>
      </c>
      <c r="Z12" s="17" t="s">
        <v>36</v>
      </c>
      <c r="AA12" s="17" t="s">
        <v>37</v>
      </c>
      <c r="AB12" s="17" t="s">
        <v>37</v>
      </c>
      <c r="AC12" s="17" t="s">
        <v>35</v>
      </c>
      <c r="AD12" s="17" t="s">
        <v>38</v>
      </c>
      <c r="AE12" s="184" t="s">
        <v>39</v>
      </c>
      <c r="AF12" s="67">
        <v>0.05</v>
      </c>
      <c r="AG12" s="70" t="s">
        <v>46</v>
      </c>
      <c r="AH12" s="30"/>
    </row>
    <row r="13" spans="1:36" s="44" customFormat="1">
      <c r="A13" s="86"/>
      <c r="B13" s="18"/>
      <c r="C13" s="18"/>
      <c r="D13" s="20"/>
      <c r="E13" s="21"/>
      <c r="F13" s="19"/>
      <c r="G13" s="22"/>
      <c r="H13" s="19"/>
      <c r="I13" s="22"/>
      <c r="J13" s="22"/>
      <c r="K13" s="22"/>
      <c r="L13" s="22"/>
      <c r="M13" s="22"/>
      <c r="N13" s="23"/>
      <c r="O13" s="23"/>
      <c r="P13" s="23"/>
      <c r="Q13" s="20"/>
      <c r="R13" s="23"/>
      <c r="S13" s="20"/>
      <c r="T13" s="23"/>
      <c r="U13" s="20"/>
      <c r="V13" s="23"/>
      <c r="W13" s="23"/>
      <c r="X13" s="23"/>
      <c r="Y13" s="23"/>
      <c r="Z13" s="23"/>
      <c r="AA13" s="23"/>
      <c r="AB13" s="182"/>
      <c r="AC13" s="23"/>
      <c r="AD13" s="23"/>
      <c r="AE13" s="185"/>
      <c r="AF13" s="187"/>
      <c r="AG13" s="188"/>
      <c r="AH13" s="190">
        <v>27000</v>
      </c>
    </row>
    <row r="14" spans="1:36" s="69" customFormat="1" ht="273.5" customHeight="1">
      <c r="A14" s="24">
        <v>1</v>
      </c>
      <c r="B14" s="103"/>
      <c r="C14" s="158"/>
      <c r="D14" s="26">
        <v>0.43</v>
      </c>
      <c r="E14" s="68">
        <v>10</v>
      </c>
      <c r="F14" s="104">
        <v>3576</v>
      </c>
      <c r="G14" s="25">
        <f>F14*$C$7</f>
        <v>3576</v>
      </c>
      <c r="H14" s="75">
        <v>0.7</v>
      </c>
      <c r="I14" s="25">
        <f>ROUND(G14*(1-H14),2)</f>
        <v>1072.8</v>
      </c>
      <c r="J14" s="25">
        <f>ROUND(E14*I14,2)</f>
        <v>10728</v>
      </c>
      <c r="K14" s="25">
        <f>ROUND(E14*D14,2)</f>
        <v>4.3</v>
      </c>
      <c r="L14" s="25">
        <f>ROUND(K14*F$7,2)</f>
        <v>350.02</v>
      </c>
      <c r="M14" s="25">
        <f>SUM(J14,L14)</f>
        <v>11078.02</v>
      </c>
      <c r="N14" s="25">
        <f>ROUND(K14*H$7,2)</f>
        <v>250</v>
      </c>
      <c r="O14" s="25">
        <f>ROUND((M14+N14)*$I$9,2)</f>
        <v>84.96</v>
      </c>
      <c r="P14" s="25">
        <f>SUM(M14:O14)</f>
        <v>11412.98</v>
      </c>
      <c r="Q14" s="179">
        <v>0</v>
      </c>
      <c r="R14" s="25">
        <f>ROUND(P14/(1-Q14),2)</f>
        <v>11412.98</v>
      </c>
      <c r="S14" s="157">
        <v>0.05</v>
      </c>
      <c r="T14" s="25">
        <f>ROUND(R14*S14,2)</f>
        <v>570.65</v>
      </c>
      <c r="U14" s="157">
        <v>0</v>
      </c>
      <c r="V14" s="25">
        <f>ROUND((T14+R14)*U14,2)</f>
        <v>0</v>
      </c>
      <c r="W14" s="25">
        <f>ROUND(K14*R$7,2)</f>
        <v>500</v>
      </c>
      <c r="X14" s="25">
        <f>SUM(R14,T14,V14,W14)</f>
        <v>12483.63</v>
      </c>
      <c r="Y14" s="25">
        <f>ROUND(X14/(1-T$9),2)</f>
        <v>20806.05</v>
      </c>
      <c r="Z14" s="25">
        <f>Y14-X14</f>
        <v>8322.42</v>
      </c>
      <c r="AA14" s="25">
        <f>IF(E14&gt;0,ROUND(Y14/E14,2),"NA")</f>
        <v>2080.61</v>
      </c>
      <c r="AB14" s="85">
        <f>AA14</f>
        <v>2080.61</v>
      </c>
      <c r="AC14" s="41">
        <f>ROUND(E14*AB14,2)</f>
        <v>20806.099999999999</v>
      </c>
      <c r="AD14" s="76">
        <f>AC14-X14</f>
        <v>8322.4699999999993</v>
      </c>
      <c r="AE14" s="186">
        <f>IF(AC14&gt;0,AD14/AC14,"NA")</f>
        <v>0.40000144188483183</v>
      </c>
      <c r="AF14" s="77">
        <f>AC14*5%*70%</f>
        <v>728.21349999999995</v>
      </c>
      <c r="AG14" s="78">
        <f>AD14-AF14</f>
        <v>7594.2564999999995</v>
      </c>
      <c r="AH14" s="191">
        <f>ROUND(AB14*$AH$13,-3)</f>
        <v>56176000</v>
      </c>
      <c r="AI14" s="102"/>
      <c r="AJ14" s="102"/>
    </row>
    <row r="15" spans="1:36" s="45" customFormat="1" ht="21" customHeight="1" thickBot="1">
      <c r="A15" s="27"/>
      <c r="B15" s="87" t="s">
        <v>53</v>
      </c>
      <c r="C15" s="87"/>
      <c r="D15" s="29"/>
      <c r="E15" s="28">
        <f>SUM(E14:E14)</f>
        <v>10</v>
      </c>
      <c r="F15" s="28"/>
      <c r="G15" s="28"/>
      <c r="H15" s="28"/>
      <c r="I15" s="28"/>
      <c r="J15" s="28">
        <f t="shared" ref="J15:P15" si="0">SUM(J14:J14)</f>
        <v>10728</v>
      </c>
      <c r="K15" s="28">
        <f t="shared" si="0"/>
        <v>4.3</v>
      </c>
      <c r="L15" s="28">
        <f t="shared" si="0"/>
        <v>350.02</v>
      </c>
      <c r="M15" s="61">
        <f t="shared" si="0"/>
        <v>11078.02</v>
      </c>
      <c r="N15" s="28">
        <f t="shared" si="0"/>
        <v>250</v>
      </c>
      <c r="O15" s="28">
        <f t="shared" si="0"/>
        <v>84.96</v>
      </c>
      <c r="P15" s="61">
        <f t="shared" si="0"/>
        <v>11412.98</v>
      </c>
      <c r="Q15" s="28"/>
      <c r="R15" s="61">
        <f>SUM(R14:R14)</f>
        <v>11412.98</v>
      </c>
      <c r="S15" s="28"/>
      <c r="T15" s="61">
        <f>SUM(T14:T14)</f>
        <v>570.65</v>
      </c>
      <c r="U15" s="28"/>
      <c r="V15" s="28">
        <f>SUM(V14:V14)</f>
        <v>0</v>
      </c>
      <c r="W15" s="61">
        <f>SUM(W14:W14)</f>
        <v>500</v>
      </c>
      <c r="X15" s="61">
        <f>SUM(X14:X14)</f>
        <v>12483.63</v>
      </c>
      <c r="Y15" s="28">
        <f>SUM(Y14:Y14)</f>
        <v>20806.05</v>
      </c>
      <c r="Z15" s="28">
        <f>SUM(Z14:Z14)</f>
        <v>8322.42</v>
      </c>
      <c r="AA15" s="28"/>
      <c r="AB15" s="28"/>
      <c r="AC15" s="28">
        <f>SUM(AC14:AC14)</f>
        <v>20806.099999999999</v>
      </c>
      <c r="AD15" s="28">
        <f>SUM(AD14:AD14)</f>
        <v>8322.4699999999993</v>
      </c>
      <c r="AE15" s="183">
        <f>SUM(AE14:AE14)</f>
        <v>0.40000144188483183</v>
      </c>
      <c r="AF15" s="17">
        <f>SUM(AF14:AF14)</f>
        <v>728.21349999999995</v>
      </c>
      <c r="AG15" s="189">
        <f>SUM(AG14:AG14)</f>
        <v>7594.2564999999995</v>
      </c>
      <c r="AI15" s="71"/>
    </row>
    <row r="16" spans="1:36" ht="19.5" customHeight="1" thickBot="1">
      <c r="A16" s="30"/>
      <c r="B16" s="30" t="s">
        <v>40</v>
      </c>
      <c r="C16" s="30"/>
      <c r="D16" s="30"/>
      <c r="E16" s="31"/>
      <c r="F16" s="32"/>
      <c r="G16" s="32"/>
      <c r="H16" s="32"/>
      <c r="I16" s="32"/>
      <c r="J16" s="32"/>
      <c r="K16" s="32"/>
      <c r="L16" s="32"/>
      <c r="M16" s="62">
        <f>SUM(J15,L15)</f>
        <v>11078.02</v>
      </c>
      <c r="N16" s="62"/>
      <c r="O16" s="62"/>
      <c r="P16" s="62">
        <f>SUM(M15,N15,O15)</f>
        <v>11412.98</v>
      </c>
      <c r="Q16" s="62"/>
      <c r="R16" s="62">
        <f>SUM(M15,N15,O15)</f>
        <v>11412.98</v>
      </c>
      <c r="S16" s="62"/>
      <c r="T16" s="62"/>
      <c r="U16" s="62"/>
      <c r="V16" s="62"/>
      <c r="W16" s="62"/>
      <c r="X16" s="62">
        <f>SUM(R15,T15,W15,V15)</f>
        <v>12483.63</v>
      </c>
      <c r="Y16" s="62"/>
      <c r="Z16" s="62">
        <f>Y15-X15</f>
        <v>8322.42</v>
      </c>
      <c r="AA16" s="62"/>
      <c r="AB16" s="63"/>
      <c r="AC16" s="64"/>
      <c r="AD16" s="64">
        <f>AC15-X15</f>
        <v>8322.4699999999993</v>
      </c>
      <c r="AE16" s="46"/>
      <c r="AF16" s="178"/>
      <c r="AG16" s="79">
        <f>AG15/AC15</f>
        <v>0.36500144188483186</v>
      </c>
    </row>
    <row r="17" spans="1:33">
      <c r="A17" s="1"/>
      <c r="B17" s="7"/>
      <c r="C17" s="1"/>
      <c r="D17" s="1"/>
      <c r="E17" s="33"/>
      <c r="F17" s="34"/>
      <c r="G17" s="34"/>
      <c r="H17" s="34"/>
      <c r="I17" s="34"/>
      <c r="J17" s="165"/>
      <c r="K17" s="33"/>
      <c r="L17" s="33"/>
      <c r="M17" s="33"/>
      <c r="N17" s="165"/>
      <c r="O17" s="35"/>
      <c r="P17" s="35"/>
      <c r="Q17" s="35"/>
      <c r="R17" s="35"/>
      <c r="S17" s="35"/>
      <c r="T17" s="35"/>
      <c r="U17" s="35"/>
      <c r="V17" s="35"/>
      <c r="W17" s="35"/>
      <c r="X17" s="35">
        <f>X16/E15</f>
        <v>1248.3629999999998</v>
      </c>
      <c r="Y17" s="33"/>
      <c r="Z17" s="80">
        <f>IF(Y15&gt;0,Z16/Y15,"NA")</f>
        <v>0.4</v>
      </c>
      <c r="AA17" s="33"/>
      <c r="AB17" s="45"/>
    </row>
    <row r="18" spans="1:33" s="45" customFormat="1">
      <c r="A18" s="7"/>
      <c r="B18" s="7"/>
      <c r="C18" s="7"/>
      <c r="D18" s="7"/>
      <c r="E18" s="7"/>
      <c r="F18" s="36"/>
      <c r="G18" s="36"/>
      <c r="H18" s="172"/>
      <c r="I18" s="166"/>
      <c r="J18" s="166"/>
      <c r="K18" s="166"/>
      <c r="L18" s="166"/>
      <c r="M18" s="166"/>
      <c r="N18" s="166"/>
      <c r="O18" s="166"/>
      <c r="P18" s="167">
        <f>AH13</f>
        <v>27000</v>
      </c>
      <c r="R18" s="81"/>
      <c r="S18" s="7"/>
      <c r="T18" s="81">
        <f>AD16/AC15</f>
        <v>0.40000144188483183</v>
      </c>
      <c r="U18" s="7"/>
      <c r="V18" s="7"/>
      <c r="W18" s="81"/>
    </row>
    <row r="19" spans="1:33" s="45" customFormat="1" ht="18.75" customHeight="1">
      <c r="A19" s="7"/>
      <c r="B19" s="7"/>
      <c r="C19" s="7"/>
      <c r="D19" s="7"/>
      <c r="E19" s="7"/>
      <c r="F19" s="36"/>
      <c r="G19" s="36"/>
      <c r="H19" s="173" t="s">
        <v>83</v>
      </c>
      <c r="I19" s="168">
        <f>T15</f>
        <v>570.65</v>
      </c>
      <c r="J19" s="15"/>
      <c r="K19" s="15"/>
      <c r="L19" s="15"/>
      <c r="M19" s="15"/>
      <c r="N19" s="15"/>
      <c r="O19" s="15"/>
      <c r="P19" s="169">
        <f>I19*$P$18</f>
        <v>15407550</v>
      </c>
      <c r="R19" s="45" t="s">
        <v>49</v>
      </c>
      <c r="S19" s="37"/>
      <c r="T19" s="47">
        <f>SUM(R15,T15,W15,AF15)</f>
        <v>13211.843499999999</v>
      </c>
      <c r="U19" s="38"/>
    </row>
    <row r="20" spans="1:33" s="45" customFormat="1" ht="15" customHeight="1">
      <c r="A20" s="7"/>
      <c r="B20" s="7"/>
      <c r="C20" s="7"/>
      <c r="D20" s="7"/>
      <c r="E20" s="7"/>
      <c r="F20" s="39"/>
      <c r="G20" s="39"/>
      <c r="H20" s="173" t="s">
        <v>84</v>
      </c>
      <c r="I20" s="168">
        <f>V15</f>
        <v>0</v>
      </c>
      <c r="J20" s="15"/>
      <c r="K20" s="15"/>
      <c r="L20" s="15"/>
      <c r="M20" s="15"/>
      <c r="N20" s="15"/>
      <c r="O20" s="15"/>
      <c r="P20" s="169">
        <f>I20*$P$18</f>
        <v>0</v>
      </c>
      <c r="R20" s="45" t="s">
        <v>50</v>
      </c>
      <c r="S20" s="40"/>
      <c r="T20" s="47">
        <f>AC15-T19</f>
        <v>7594.2564999999995</v>
      </c>
      <c r="U20" s="33"/>
    </row>
    <row r="21" spans="1:33" s="45" customFormat="1" ht="18.75" customHeight="1">
      <c r="A21" s="43"/>
      <c r="B21" s="43"/>
      <c r="F21" s="48"/>
      <c r="G21" s="48"/>
      <c r="H21" s="174" t="s">
        <v>85</v>
      </c>
      <c r="I21" s="72">
        <f>(R15+I19+I20)*10%</f>
        <v>1198.3630000000001</v>
      </c>
      <c r="J21" s="170"/>
      <c r="K21" s="15"/>
      <c r="L21" s="15"/>
      <c r="M21" s="15"/>
      <c r="N21" s="15"/>
      <c r="O21" s="15"/>
      <c r="P21" s="169">
        <f>I21*$P$18</f>
        <v>32355801</v>
      </c>
      <c r="R21" s="45" t="s">
        <v>51</v>
      </c>
      <c r="S21" s="50"/>
      <c r="T21" s="163">
        <f>T20/AC15</f>
        <v>0.36500144188483186</v>
      </c>
      <c r="U21" s="51"/>
    </row>
    <row r="22" spans="1:33" s="45" customFormat="1">
      <c r="B22" s="7"/>
      <c r="F22" s="48"/>
      <c r="G22" s="48"/>
      <c r="H22" s="175"/>
      <c r="I22" s="166"/>
      <c r="J22" s="171"/>
      <c r="K22" s="166"/>
      <c r="L22" s="166"/>
      <c r="M22" s="166"/>
      <c r="N22" s="166"/>
      <c r="O22" s="166"/>
      <c r="P22" s="199">
        <f>SUM(P19:P21)</f>
        <v>47763351</v>
      </c>
      <c r="S22" s="50"/>
      <c r="T22" s="47"/>
      <c r="U22" s="52"/>
      <c r="AG22" s="66"/>
    </row>
    <row r="23" spans="1:33" s="45" customFormat="1">
      <c r="B23" s="43"/>
      <c r="C23" s="43"/>
      <c r="D23" s="53"/>
      <c r="E23" s="53"/>
      <c r="F23" s="48"/>
      <c r="G23" s="48"/>
      <c r="H23" s="48"/>
      <c r="I23" s="48"/>
      <c r="J23" s="49"/>
      <c r="R23" s="45" t="s">
        <v>52</v>
      </c>
      <c r="T23" s="54">
        <f>ROUND(T20*U23,2)</f>
        <v>1518.85</v>
      </c>
      <c r="U23" s="84">
        <v>0.2</v>
      </c>
    </row>
    <row r="24" spans="1:33" s="45" customFormat="1">
      <c r="A24" s="43"/>
      <c r="C24" s="43"/>
      <c r="D24" s="53"/>
      <c r="E24" s="53"/>
      <c r="F24" s="48"/>
      <c r="G24" s="48"/>
      <c r="H24" s="296" t="s">
        <v>47</v>
      </c>
      <c r="I24" s="296"/>
      <c r="J24" s="171"/>
      <c r="K24" s="166"/>
      <c r="L24" s="166"/>
      <c r="M24" s="166"/>
      <c r="N24" s="166"/>
      <c r="O24" s="166"/>
      <c r="P24" s="82">
        <v>0</v>
      </c>
      <c r="R24" s="45" t="s">
        <v>41</v>
      </c>
      <c r="T24" s="47">
        <f>T20+T22-T23</f>
        <v>6075.4064999999991</v>
      </c>
      <c r="V24" s="55"/>
    </row>
    <row r="25" spans="1:33" s="45" customFormat="1">
      <c r="A25" s="43"/>
      <c r="B25" s="7"/>
      <c r="C25" s="43"/>
      <c r="D25" s="53"/>
      <c r="E25" s="53"/>
      <c r="F25" s="48"/>
      <c r="G25" s="48"/>
      <c r="H25" s="296" t="s">
        <v>43</v>
      </c>
      <c r="I25" s="296"/>
      <c r="J25" s="171"/>
      <c r="K25" s="166"/>
      <c r="L25" s="166"/>
      <c r="M25" s="166"/>
      <c r="N25" s="180"/>
      <c r="O25" s="181"/>
      <c r="P25" s="42">
        <f>AG15-P24</f>
        <v>7594.2564999999995</v>
      </c>
      <c r="Q25" s="43"/>
      <c r="R25" s="45" t="s">
        <v>42</v>
      </c>
      <c r="T25" s="163">
        <f>T24/AC15</f>
        <v>0.29200121598954148</v>
      </c>
      <c r="V25" s="43"/>
    </row>
    <row r="26" spans="1:33" s="45" customFormat="1">
      <c r="A26" s="43"/>
      <c r="B26" s="43"/>
      <c r="C26" s="43"/>
      <c r="D26" s="53"/>
      <c r="E26" s="53"/>
      <c r="F26" s="48"/>
      <c r="G26" s="48"/>
      <c r="H26" s="296" t="s">
        <v>44</v>
      </c>
      <c r="I26" s="296"/>
      <c r="J26" s="171"/>
      <c r="K26" s="166"/>
      <c r="L26" s="166"/>
      <c r="M26" s="166"/>
      <c r="N26" s="171"/>
      <c r="O26" s="166"/>
      <c r="P26" s="83">
        <f>P25/AC15</f>
        <v>0.36500144188483186</v>
      </c>
      <c r="AG26" s="66"/>
    </row>
    <row r="27" spans="1:33" s="45" customFormat="1">
      <c r="C27" s="43"/>
      <c r="D27" s="53"/>
      <c r="E27" s="53"/>
      <c r="F27" s="48"/>
      <c r="G27" s="48"/>
      <c r="H27" s="48"/>
      <c r="I27" s="48"/>
      <c r="J27" s="49"/>
      <c r="N27" s="49"/>
      <c r="AG27" s="66"/>
    </row>
    <row r="28" spans="1:33" s="45" customFormat="1">
      <c r="A28" s="43"/>
      <c r="C28" s="43"/>
      <c r="D28" s="53"/>
      <c r="E28" s="53"/>
      <c r="F28" s="48"/>
      <c r="G28" s="48"/>
      <c r="H28" s="48"/>
      <c r="I28" s="48"/>
      <c r="J28" s="49"/>
      <c r="N28" s="49"/>
    </row>
    <row r="29" spans="1:33" s="45" customFormat="1">
      <c r="A29" s="56"/>
      <c r="B29" s="43"/>
      <c r="C29" s="56"/>
      <c r="D29" s="43"/>
      <c r="E29" s="43"/>
      <c r="F29" s="48"/>
      <c r="G29" s="48"/>
      <c r="H29" s="48"/>
      <c r="I29" s="48"/>
      <c r="J29" s="49"/>
      <c r="N29" s="49"/>
    </row>
    <row r="30" spans="1:33" s="45" customFormat="1">
      <c r="B30" s="43"/>
      <c r="C30" s="43"/>
      <c r="D30" s="53"/>
      <c r="E30" s="53"/>
      <c r="F30" s="48"/>
      <c r="G30" s="48"/>
      <c r="H30" s="48"/>
      <c r="I30" s="48"/>
      <c r="J30" s="49"/>
      <c r="N30" s="49"/>
    </row>
    <row r="31" spans="1:33" s="45" customFormat="1">
      <c r="B31" s="43"/>
      <c r="C31" s="43"/>
      <c r="D31" s="57"/>
      <c r="E31" s="57"/>
      <c r="F31" s="48"/>
      <c r="G31" s="48"/>
      <c r="H31" s="48"/>
      <c r="I31" s="48"/>
      <c r="J31" s="49"/>
      <c r="N31" s="49"/>
    </row>
    <row r="32" spans="1:33" s="45" customFormat="1">
      <c r="A32" s="43"/>
      <c r="C32" s="43"/>
      <c r="D32" s="43"/>
      <c r="E32" s="43"/>
      <c r="F32" s="48"/>
      <c r="G32" s="48"/>
      <c r="H32" s="48"/>
      <c r="I32" s="48"/>
      <c r="J32" s="49"/>
      <c r="N32" s="49"/>
    </row>
    <row r="33" spans="1:33" s="45" customFormat="1">
      <c r="A33" s="43"/>
      <c r="B33" s="43"/>
      <c r="F33" s="58"/>
      <c r="G33" s="58"/>
      <c r="H33" s="58"/>
      <c r="I33" s="58"/>
      <c r="N33" s="49"/>
    </row>
    <row r="34" spans="1:33" s="45" customFormat="1">
      <c r="B34" s="56"/>
      <c r="F34" s="58"/>
      <c r="G34" s="58"/>
      <c r="H34" s="58"/>
      <c r="I34" s="58"/>
      <c r="N34" s="49"/>
    </row>
    <row r="35" spans="1:33" s="45" customFormat="1">
      <c r="F35" s="58"/>
      <c r="G35" s="58"/>
      <c r="H35" s="58"/>
      <c r="I35" s="58"/>
      <c r="N35" s="49"/>
      <c r="AG35" s="66"/>
    </row>
    <row r="36" spans="1:33" s="45" customFormat="1">
      <c r="F36" s="58"/>
      <c r="G36" s="58"/>
      <c r="H36" s="58"/>
      <c r="I36" s="58"/>
      <c r="N36" s="49"/>
      <c r="AG36" s="66"/>
    </row>
    <row r="37" spans="1:33" s="45" customFormat="1">
      <c r="B37" s="43"/>
      <c r="F37" s="58"/>
      <c r="G37" s="58"/>
      <c r="H37" s="58"/>
      <c r="I37" s="58"/>
      <c r="N37" s="49"/>
      <c r="AG37" s="66"/>
    </row>
    <row r="38" spans="1:33" s="45" customFormat="1">
      <c r="B38" s="43"/>
      <c r="F38" s="58"/>
      <c r="G38" s="58"/>
      <c r="H38" s="58"/>
      <c r="I38" s="58"/>
      <c r="N38" s="49"/>
      <c r="AG38" s="66"/>
    </row>
    <row r="39" spans="1:33" s="45" customFormat="1">
      <c r="F39" s="58"/>
      <c r="G39" s="58"/>
      <c r="H39" s="58"/>
      <c r="I39" s="58"/>
      <c r="N39" s="49"/>
      <c r="AG39" s="66"/>
    </row>
    <row r="40" spans="1:33" s="45" customFormat="1">
      <c r="F40" s="58"/>
      <c r="G40" s="58"/>
      <c r="H40" s="58"/>
      <c r="I40" s="58"/>
      <c r="N40" s="49"/>
      <c r="AG40" s="66"/>
    </row>
    <row r="41" spans="1:33" s="45" customFormat="1">
      <c r="F41" s="58"/>
      <c r="G41" s="58"/>
      <c r="H41" s="58"/>
      <c r="I41" s="58"/>
      <c r="N41" s="49"/>
      <c r="AG41" s="66"/>
    </row>
    <row r="42" spans="1:33" s="45" customFormat="1">
      <c r="F42" s="58"/>
      <c r="G42" s="58"/>
      <c r="H42" s="58"/>
      <c r="I42" s="58"/>
      <c r="N42" s="49"/>
      <c r="AG42" s="66"/>
    </row>
    <row r="43" spans="1:33" s="45" customFormat="1">
      <c r="F43" s="58"/>
      <c r="G43" s="58"/>
      <c r="H43" s="58"/>
      <c r="I43" s="58"/>
      <c r="N43" s="49"/>
      <c r="AG43" s="66"/>
    </row>
    <row r="44" spans="1:33" s="45" customFormat="1">
      <c r="F44" s="58"/>
      <c r="G44" s="58"/>
      <c r="H44" s="58"/>
      <c r="I44" s="58"/>
      <c r="N44" s="49"/>
      <c r="AG44" s="66"/>
    </row>
    <row r="45" spans="1:33" s="45" customFormat="1">
      <c r="F45" s="58"/>
      <c r="G45" s="58"/>
      <c r="H45" s="58"/>
      <c r="I45" s="58"/>
      <c r="N45" s="49"/>
      <c r="AG45" s="66"/>
    </row>
    <row r="46" spans="1:33" s="45" customFormat="1">
      <c r="F46" s="58"/>
      <c r="G46" s="58"/>
      <c r="H46" s="58"/>
      <c r="I46" s="58"/>
      <c r="N46" s="49"/>
      <c r="AG46" s="66"/>
    </row>
    <row r="47" spans="1:33" s="45" customFormat="1">
      <c r="F47" s="58"/>
      <c r="G47" s="58"/>
      <c r="H47" s="58"/>
      <c r="I47" s="58"/>
      <c r="N47" s="49"/>
      <c r="AG47" s="66"/>
    </row>
    <row r="48" spans="1:33" s="45" customFormat="1">
      <c r="F48" s="58"/>
      <c r="G48" s="58"/>
      <c r="H48" s="58"/>
      <c r="I48" s="58"/>
      <c r="N48" s="49"/>
      <c r="AG48" s="66"/>
    </row>
    <row r="49" spans="6:33" s="45" customFormat="1">
      <c r="F49" s="58"/>
      <c r="G49" s="58"/>
      <c r="H49" s="58"/>
      <c r="I49" s="58"/>
      <c r="N49" s="49"/>
      <c r="AG49" s="66"/>
    </row>
    <row r="50" spans="6:33" s="45" customFormat="1">
      <c r="F50" s="58"/>
      <c r="G50" s="58"/>
      <c r="H50" s="58"/>
      <c r="I50" s="58"/>
      <c r="N50" s="49"/>
      <c r="AG50" s="66"/>
    </row>
    <row r="51" spans="6:33" s="45" customFormat="1">
      <c r="F51" s="58"/>
      <c r="G51" s="58"/>
      <c r="H51" s="58"/>
      <c r="I51" s="58"/>
      <c r="N51" s="49"/>
      <c r="AG51" s="66"/>
    </row>
    <row r="52" spans="6:33" s="45" customFormat="1">
      <c r="F52" s="58"/>
      <c r="G52" s="58"/>
      <c r="H52" s="58"/>
      <c r="I52" s="58"/>
      <c r="N52" s="49"/>
      <c r="AG52" s="66"/>
    </row>
    <row r="53" spans="6:33" s="45" customFormat="1">
      <c r="F53" s="58"/>
      <c r="G53" s="58"/>
      <c r="H53" s="58"/>
      <c r="I53" s="58"/>
      <c r="N53" s="49"/>
      <c r="AG53" s="66"/>
    </row>
    <row r="54" spans="6:33" s="45" customFormat="1">
      <c r="F54" s="58"/>
      <c r="G54" s="58"/>
      <c r="H54" s="58"/>
      <c r="I54" s="58"/>
      <c r="N54" s="49"/>
      <c r="AG54" s="66"/>
    </row>
    <row r="55" spans="6:33" s="45" customFormat="1">
      <c r="F55" s="58"/>
      <c r="G55" s="58"/>
      <c r="H55" s="58"/>
      <c r="I55" s="58"/>
      <c r="N55" s="49"/>
      <c r="AG55" s="66"/>
    </row>
    <row r="56" spans="6:33">
      <c r="N56" s="60"/>
    </row>
    <row r="57" spans="6:33">
      <c r="N57" s="60"/>
    </row>
    <row r="58" spans="6:33">
      <c r="N58" s="60"/>
    </row>
    <row r="59" spans="6:33">
      <c r="N59" s="60"/>
    </row>
    <row r="60" spans="6:33">
      <c r="N60" s="60"/>
    </row>
    <row r="61" spans="6:33">
      <c r="N61" s="60"/>
    </row>
    <row r="62" spans="6:33">
      <c r="N62" s="60"/>
    </row>
    <row r="63" spans="6:33">
      <c r="N63" s="60"/>
    </row>
    <row r="64" spans="6:33">
      <c r="N64" s="60"/>
    </row>
    <row r="65" spans="14:14">
      <c r="N65" s="60"/>
    </row>
    <row r="66" spans="14:14">
      <c r="N66" s="60"/>
    </row>
    <row r="67" spans="14:14">
      <c r="N67" s="60"/>
    </row>
    <row r="68" spans="14:14">
      <c r="N68" s="60"/>
    </row>
    <row r="69" spans="14:14">
      <c r="N69" s="60"/>
    </row>
    <row r="70" spans="14:14">
      <c r="N70" s="60"/>
    </row>
    <row r="71" spans="14:14">
      <c r="N71" s="60"/>
    </row>
    <row r="72" spans="14:14">
      <c r="N72" s="60"/>
    </row>
    <row r="73" spans="14:14">
      <c r="N73" s="60"/>
    </row>
    <row r="74" spans="14:14">
      <c r="N74" s="60"/>
    </row>
    <row r="75" spans="14:14">
      <c r="N75" s="60"/>
    </row>
    <row r="76" spans="14:14">
      <c r="N76" s="60"/>
    </row>
    <row r="77" spans="14:14">
      <c r="N77" s="60"/>
    </row>
    <row r="78" spans="14:14">
      <c r="N78" s="60"/>
    </row>
    <row r="79" spans="14:14">
      <c r="N79" s="60"/>
    </row>
    <row r="80" spans="14:14">
      <c r="N80" s="60"/>
    </row>
    <row r="81" spans="14:14">
      <c r="N81" s="60"/>
    </row>
    <row r="82" spans="14:14">
      <c r="N82" s="60"/>
    </row>
    <row r="83" spans="14:14">
      <c r="N83" s="60"/>
    </row>
    <row r="84" spans="14:14">
      <c r="N84" s="60"/>
    </row>
    <row r="85" spans="14:14">
      <c r="N85" s="60"/>
    </row>
    <row r="86" spans="14:14">
      <c r="N86" s="60"/>
    </row>
    <row r="87" spans="14:14">
      <c r="N87" s="60"/>
    </row>
    <row r="88" spans="14:14">
      <c r="N88" s="60"/>
    </row>
    <row r="89" spans="14:14">
      <c r="N89" s="60"/>
    </row>
    <row r="90" spans="14:14">
      <c r="N90" s="60"/>
    </row>
    <row r="91" spans="14:14">
      <c r="N91" s="60"/>
    </row>
    <row r="92" spans="14:14">
      <c r="N92" s="60"/>
    </row>
    <row r="93" spans="14:14">
      <c r="N93" s="60"/>
    </row>
    <row r="94" spans="14:14">
      <c r="N94" s="60"/>
    </row>
    <row r="95" spans="14:14">
      <c r="N95" s="60"/>
    </row>
    <row r="96" spans="14:14">
      <c r="N96" s="60"/>
    </row>
    <row r="97" spans="14:14">
      <c r="N97" s="60"/>
    </row>
    <row r="98" spans="14:14">
      <c r="N98" s="60"/>
    </row>
    <row r="99" spans="14:14">
      <c r="N99" s="60"/>
    </row>
    <row r="100" spans="14:14">
      <c r="N100" s="60"/>
    </row>
    <row r="101" spans="14:14">
      <c r="N101" s="60"/>
    </row>
    <row r="102" spans="14:14">
      <c r="N102" s="60"/>
    </row>
    <row r="103" spans="14:14">
      <c r="N103" s="60"/>
    </row>
    <row r="104" spans="14:14">
      <c r="N104" s="60"/>
    </row>
    <row r="105" spans="14:14">
      <c r="N105" s="60"/>
    </row>
    <row r="106" spans="14:14">
      <c r="N106" s="60"/>
    </row>
    <row r="107" spans="14:14">
      <c r="N107" s="60"/>
    </row>
    <row r="108" spans="14:14">
      <c r="N108" s="60"/>
    </row>
    <row r="109" spans="14:14">
      <c r="N109" s="60"/>
    </row>
    <row r="110" spans="14:14">
      <c r="N110" s="60"/>
    </row>
    <row r="111" spans="14:14">
      <c r="N111" s="60"/>
    </row>
    <row r="112" spans="14:14">
      <c r="N112" s="60"/>
    </row>
    <row r="113" spans="14:14">
      <c r="N113" s="60"/>
    </row>
    <row r="114" spans="14:14">
      <c r="N114" s="60"/>
    </row>
    <row r="115" spans="14:14">
      <c r="N115" s="60"/>
    </row>
    <row r="116" spans="14:14">
      <c r="N116" s="60"/>
    </row>
    <row r="117" spans="14:14">
      <c r="N117" s="60"/>
    </row>
    <row r="118" spans="14:14">
      <c r="N118" s="60"/>
    </row>
    <row r="119" spans="14:14">
      <c r="N119" s="60"/>
    </row>
    <row r="120" spans="14:14">
      <c r="N120" s="60"/>
    </row>
    <row r="121" spans="14:14">
      <c r="N121" s="60"/>
    </row>
    <row r="122" spans="14:14">
      <c r="N122" s="60"/>
    </row>
    <row r="123" spans="14:14">
      <c r="N123" s="60"/>
    </row>
    <row r="124" spans="14:14">
      <c r="N124" s="60"/>
    </row>
    <row r="125" spans="14:14">
      <c r="N125" s="60"/>
    </row>
    <row r="126" spans="14:14">
      <c r="N126" s="60"/>
    </row>
    <row r="127" spans="14:14">
      <c r="N127" s="60"/>
    </row>
    <row r="128" spans="14:14">
      <c r="N128" s="60"/>
    </row>
    <row r="129" spans="14:14">
      <c r="N129" s="60"/>
    </row>
    <row r="130" spans="14:14">
      <c r="N130" s="60"/>
    </row>
    <row r="131" spans="14:14">
      <c r="N131" s="60"/>
    </row>
    <row r="132" spans="14:14">
      <c r="N132" s="60"/>
    </row>
    <row r="133" spans="14:14">
      <c r="N133" s="60"/>
    </row>
    <row r="134" spans="14:14">
      <c r="N134" s="60"/>
    </row>
    <row r="135" spans="14:14">
      <c r="N135" s="60"/>
    </row>
    <row r="136" spans="14:14">
      <c r="N136" s="60"/>
    </row>
    <row r="137" spans="14:14">
      <c r="N137" s="60"/>
    </row>
    <row r="138" spans="14:14">
      <c r="N138" s="60"/>
    </row>
    <row r="139" spans="14:14">
      <c r="N139" s="60"/>
    </row>
    <row r="140" spans="14:14">
      <c r="N140" s="60"/>
    </row>
    <row r="141" spans="14:14">
      <c r="N141" s="60"/>
    </row>
    <row r="142" spans="14:14">
      <c r="N142" s="60"/>
    </row>
    <row r="143" spans="14:14">
      <c r="N143" s="60"/>
    </row>
    <row r="144" spans="14:14">
      <c r="N144" s="60"/>
    </row>
    <row r="145" spans="14:14">
      <c r="N145" s="60"/>
    </row>
    <row r="146" spans="14:14">
      <c r="N146" s="60"/>
    </row>
    <row r="147" spans="14:14">
      <c r="N147" s="60"/>
    </row>
    <row r="148" spans="14:14">
      <c r="N148" s="60"/>
    </row>
    <row r="149" spans="14:14">
      <c r="N149" s="60"/>
    </row>
    <row r="150" spans="14:14">
      <c r="N150" s="60"/>
    </row>
    <row r="151" spans="14:14">
      <c r="N151" s="60"/>
    </row>
    <row r="152" spans="14:14">
      <c r="N152" s="60"/>
    </row>
    <row r="153" spans="14:14">
      <c r="N153" s="60"/>
    </row>
    <row r="154" spans="14:14">
      <c r="N154" s="60"/>
    </row>
    <row r="155" spans="14:14">
      <c r="N155" s="60"/>
    </row>
    <row r="156" spans="14:14">
      <c r="N156" s="60"/>
    </row>
    <row r="157" spans="14:14">
      <c r="N157" s="60"/>
    </row>
    <row r="158" spans="14:14">
      <c r="N158" s="60"/>
    </row>
    <row r="159" spans="14:14">
      <c r="N159" s="60"/>
    </row>
    <row r="160" spans="14:14">
      <c r="N160" s="60"/>
    </row>
    <row r="161" spans="14:14">
      <c r="N161" s="60"/>
    </row>
    <row r="162" spans="14:14">
      <c r="N162" s="60"/>
    </row>
    <row r="163" spans="14:14">
      <c r="N163" s="60"/>
    </row>
    <row r="164" spans="14:14">
      <c r="N164" s="60"/>
    </row>
    <row r="165" spans="14:14">
      <c r="N165" s="60"/>
    </row>
    <row r="166" spans="14:14">
      <c r="N166" s="60"/>
    </row>
    <row r="167" spans="14:14">
      <c r="N167" s="60"/>
    </row>
    <row r="168" spans="14:14">
      <c r="N168" s="60"/>
    </row>
    <row r="169" spans="14:14">
      <c r="N169" s="60"/>
    </row>
    <row r="170" spans="14:14">
      <c r="N170" s="60"/>
    </row>
    <row r="171" spans="14:14">
      <c r="N171" s="60"/>
    </row>
    <row r="172" spans="14:14">
      <c r="N172" s="60"/>
    </row>
    <row r="173" spans="14:14">
      <c r="N173" s="60"/>
    </row>
    <row r="174" spans="14:14">
      <c r="N174" s="60"/>
    </row>
    <row r="175" spans="14:14">
      <c r="N175" s="60"/>
    </row>
    <row r="176" spans="14:14">
      <c r="N176" s="60"/>
    </row>
    <row r="177" spans="14:14">
      <c r="N177" s="60"/>
    </row>
    <row r="178" spans="14:14">
      <c r="N178" s="60"/>
    </row>
    <row r="179" spans="14:14">
      <c r="N179" s="60"/>
    </row>
    <row r="180" spans="14:14">
      <c r="N180" s="60"/>
    </row>
    <row r="181" spans="14:14">
      <c r="N181" s="60"/>
    </row>
    <row r="182" spans="14:14">
      <c r="N182" s="60"/>
    </row>
    <row r="183" spans="14:14">
      <c r="N183" s="60"/>
    </row>
    <row r="184" spans="14:14">
      <c r="N184" s="60"/>
    </row>
    <row r="185" spans="14:14">
      <c r="N185" s="60"/>
    </row>
    <row r="186" spans="14:14">
      <c r="N186" s="60"/>
    </row>
    <row r="187" spans="14:14">
      <c r="N187" s="60"/>
    </row>
    <row r="188" spans="14:14">
      <c r="N188" s="60"/>
    </row>
    <row r="189" spans="14:14">
      <c r="N189" s="60"/>
    </row>
    <row r="190" spans="14:14">
      <c r="N190" s="60"/>
    </row>
    <row r="191" spans="14:14">
      <c r="N191" s="60"/>
    </row>
    <row r="192" spans="14:14">
      <c r="N192" s="60"/>
    </row>
    <row r="193" spans="14:14">
      <c r="N193" s="60"/>
    </row>
    <row r="194" spans="14:14">
      <c r="N194" s="60"/>
    </row>
    <row r="195" spans="14:14">
      <c r="N195" s="60"/>
    </row>
    <row r="196" spans="14:14">
      <c r="N196" s="60"/>
    </row>
    <row r="197" spans="14:14">
      <c r="N197" s="60"/>
    </row>
    <row r="198" spans="14:14">
      <c r="N198" s="60"/>
    </row>
    <row r="199" spans="14:14">
      <c r="N199" s="60"/>
    </row>
    <row r="200" spans="14:14">
      <c r="N200" s="60"/>
    </row>
    <row r="201" spans="14:14">
      <c r="N201" s="60"/>
    </row>
    <row r="202" spans="14:14">
      <c r="N202" s="60"/>
    </row>
    <row r="203" spans="14:14">
      <c r="N203" s="60"/>
    </row>
    <row r="204" spans="14:14">
      <c r="N204" s="60"/>
    </row>
    <row r="205" spans="14:14">
      <c r="N205" s="60"/>
    </row>
    <row r="206" spans="14:14">
      <c r="N206" s="60"/>
    </row>
    <row r="207" spans="14:14">
      <c r="N207" s="60"/>
    </row>
    <row r="208" spans="14:14">
      <c r="N208" s="60"/>
    </row>
    <row r="209" spans="14:14">
      <c r="N209" s="60"/>
    </row>
    <row r="210" spans="14:14">
      <c r="N210" s="60"/>
    </row>
    <row r="211" spans="14:14">
      <c r="N211" s="60"/>
    </row>
    <row r="212" spans="14:14">
      <c r="N212" s="60"/>
    </row>
    <row r="213" spans="14:14">
      <c r="N213" s="60"/>
    </row>
    <row r="214" spans="14:14">
      <c r="N214" s="60"/>
    </row>
    <row r="215" spans="14:14">
      <c r="N215" s="60"/>
    </row>
    <row r="216" spans="14:14">
      <c r="N216" s="60"/>
    </row>
    <row r="217" spans="14:14">
      <c r="N217" s="60"/>
    </row>
    <row r="218" spans="14:14">
      <c r="N218" s="60"/>
    </row>
    <row r="219" spans="14:14">
      <c r="N219" s="60"/>
    </row>
    <row r="220" spans="14:14">
      <c r="N220" s="60"/>
    </row>
    <row r="221" spans="14:14">
      <c r="N221" s="60"/>
    </row>
    <row r="222" spans="14:14">
      <c r="N222" s="60"/>
    </row>
    <row r="223" spans="14:14">
      <c r="N223" s="60"/>
    </row>
    <row r="224" spans="14:14">
      <c r="N224" s="60"/>
    </row>
    <row r="225" spans="14:14">
      <c r="N225" s="60"/>
    </row>
    <row r="226" spans="14:14">
      <c r="N226" s="60"/>
    </row>
    <row r="227" spans="14:14">
      <c r="N227" s="60"/>
    </row>
    <row r="228" spans="14:14">
      <c r="N228" s="60"/>
    </row>
    <row r="229" spans="14:14">
      <c r="N229" s="60"/>
    </row>
    <row r="230" spans="14:14">
      <c r="N230" s="60"/>
    </row>
    <row r="231" spans="14:14">
      <c r="N231" s="60"/>
    </row>
    <row r="232" spans="14:14">
      <c r="N232" s="60"/>
    </row>
    <row r="233" spans="14:14">
      <c r="N233" s="60"/>
    </row>
    <row r="234" spans="14:14">
      <c r="N234" s="60"/>
    </row>
    <row r="235" spans="14:14">
      <c r="N235" s="60"/>
    </row>
    <row r="236" spans="14:14">
      <c r="N236" s="60"/>
    </row>
    <row r="237" spans="14:14">
      <c r="N237" s="60"/>
    </row>
    <row r="238" spans="14:14">
      <c r="N238" s="60"/>
    </row>
    <row r="239" spans="14:14">
      <c r="N239" s="60"/>
    </row>
    <row r="240" spans="14:14">
      <c r="N240" s="60"/>
    </row>
    <row r="241" spans="14:14">
      <c r="N241" s="60"/>
    </row>
    <row r="242" spans="14:14">
      <c r="N242" s="60"/>
    </row>
    <row r="243" spans="14:14">
      <c r="N243" s="60"/>
    </row>
    <row r="244" spans="14:14">
      <c r="N244" s="60"/>
    </row>
    <row r="245" spans="14:14">
      <c r="N245" s="60"/>
    </row>
    <row r="246" spans="14:14">
      <c r="N246" s="60"/>
    </row>
    <row r="247" spans="14:14">
      <c r="N247" s="60"/>
    </row>
    <row r="248" spans="14:14">
      <c r="N248" s="60"/>
    </row>
    <row r="249" spans="14:14">
      <c r="N249" s="60"/>
    </row>
    <row r="250" spans="14:14">
      <c r="N250" s="60"/>
    </row>
    <row r="251" spans="14:14">
      <c r="N251" s="60"/>
    </row>
    <row r="252" spans="14:14">
      <c r="N252" s="60"/>
    </row>
    <row r="253" spans="14:14">
      <c r="N253" s="60"/>
    </row>
    <row r="254" spans="14:14">
      <c r="N254" s="60"/>
    </row>
    <row r="255" spans="14:14">
      <c r="N255" s="60"/>
    </row>
    <row r="256" spans="14:14">
      <c r="N256" s="60"/>
    </row>
    <row r="257" spans="14:14">
      <c r="N257" s="60"/>
    </row>
    <row r="258" spans="14:14">
      <c r="N258" s="60"/>
    </row>
    <row r="259" spans="14:14">
      <c r="N259" s="60"/>
    </row>
    <row r="260" spans="14:14">
      <c r="N260" s="60"/>
    </row>
    <row r="261" spans="14:14">
      <c r="N261" s="60"/>
    </row>
    <row r="262" spans="14:14">
      <c r="N262" s="60"/>
    </row>
    <row r="263" spans="14:14">
      <c r="N263" s="60"/>
    </row>
    <row r="264" spans="14:14">
      <c r="N264" s="60"/>
    </row>
    <row r="265" spans="14:14">
      <c r="N265" s="60"/>
    </row>
    <row r="266" spans="14:14">
      <c r="N266" s="60"/>
    </row>
    <row r="267" spans="14:14">
      <c r="N267" s="60"/>
    </row>
    <row r="268" spans="14:14">
      <c r="N268" s="60"/>
    </row>
    <row r="269" spans="14:14">
      <c r="N269" s="60"/>
    </row>
    <row r="270" spans="14:14">
      <c r="N270" s="60"/>
    </row>
    <row r="271" spans="14:14">
      <c r="N271" s="60"/>
    </row>
    <row r="272" spans="14:14">
      <c r="N272" s="60"/>
    </row>
    <row r="273" spans="14:14">
      <c r="N273" s="60"/>
    </row>
    <row r="274" spans="14:14">
      <c r="N274" s="60"/>
    </row>
    <row r="275" spans="14:14">
      <c r="N275" s="60"/>
    </row>
    <row r="276" spans="14:14">
      <c r="N276" s="60"/>
    </row>
    <row r="277" spans="14:14">
      <c r="N277" s="60"/>
    </row>
    <row r="278" spans="14:14">
      <c r="N278" s="60"/>
    </row>
    <row r="279" spans="14:14">
      <c r="N279" s="60"/>
    </row>
    <row r="280" spans="14:14">
      <c r="N280" s="60"/>
    </row>
    <row r="281" spans="14:14">
      <c r="N281" s="60"/>
    </row>
    <row r="282" spans="14:14">
      <c r="N282" s="60"/>
    </row>
    <row r="283" spans="14:14">
      <c r="N283" s="60"/>
    </row>
    <row r="284" spans="14:14">
      <c r="N284" s="60"/>
    </row>
    <row r="285" spans="14:14">
      <c r="N285" s="60"/>
    </row>
    <row r="286" spans="14:14">
      <c r="N286" s="60"/>
    </row>
    <row r="287" spans="14:14">
      <c r="N287" s="60"/>
    </row>
    <row r="288" spans="14:14">
      <c r="N288" s="60"/>
    </row>
    <row r="289" spans="14:14">
      <c r="N289" s="60"/>
    </row>
    <row r="290" spans="14:14">
      <c r="N290" s="60"/>
    </row>
    <row r="291" spans="14:14">
      <c r="N291" s="60"/>
    </row>
    <row r="292" spans="14:14">
      <c r="N292" s="60"/>
    </row>
    <row r="293" spans="14:14">
      <c r="N293" s="60"/>
    </row>
    <row r="294" spans="14:14">
      <c r="N294" s="60"/>
    </row>
    <row r="295" spans="14:14">
      <c r="N295" s="60"/>
    </row>
    <row r="296" spans="14:14">
      <c r="N296" s="60"/>
    </row>
    <row r="297" spans="14:14">
      <c r="N297" s="60"/>
    </row>
    <row r="298" spans="14:14">
      <c r="N298" s="60"/>
    </row>
    <row r="299" spans="14:14">
      <c r="N299" s="60"/>
    </row>
    <row r="300" spans="14:14">
      <c r="N300" s="60"/>
    </row>
    <row r="301" spans="14:14">
      <c r="N301" s="60"/>
    </row>
    <row r="302" spans="14:14">
      <c r="N302" s="60"/>
    </row>
    <row r="303" spans="14:14">
      <c r="N303" s="60"/>
    </row>
    <row r="304" spans="14:14">
      <c r="N304" s="60"/>
    </row>
    <row r="305" spans="14:14">
      <c r="N305" s="60"/>
    </row>
    <row r="306" spans="14:14">
      <c r="N306" s="60"/>
    </row>
    <row r="307" spans="14:14">
      <c r="N307" s="60"/>
    </row>
    <row r="308" spans="14:14">
      <c r="N308" s="60"/>
    </row>
    <row r="309" spans="14:14">
      <c r="N309" s="60"/>
    </row>
    <row r="310" spans="14:14">
      <c r="N310" s="60"/>
    </row>
    <row r="311" spans="14:14">
      <c r="N311" s="60"/>
    </row>
    <row r="312" spans="14:14">
      <c r="N312" s="60"/>
    </row>
    <row r="313" spans="14:14">
      <c r="N313" s="60"/>
    </row>
    <row r="314" spans="14:14">
      <c r="N314" s="60"/>
    </row>
    <row r="315" spans="14:14">
      <c r="N315" s="60"/>
    </row>
    <row r="316" spans="14:14">
      <c r="N316" s="60"/>
    </row>
    <row r="317" spans="14:14">
      <c r="N317" s="60"/>
    </row>
    <row r="318" spans="14:14">
      <c r="N318" s="60"/>
    </row>
    <row r="319" spans="14:14">
      <c r="N319" s="60"/>
    </row>
    <row r="320" spans="14:14">
      <c r="N320" s="60"/>
    </row>
    <row r="321" spans="14:14">
      <c r="N321" s="60"/>
    </row>
    <row r="322" spans="14:14">
      <c r="N322" s="60"/>
    </row>
    <row r="323" spans="14:14">
      <c r="N323" s="60"/>
    </row>
    <row r="324" spans="14:14">
      <c r="N324" s="60"/>
    </row>
    <row r="325" spans="14:14">
      <c r="N325" s="60"/>
    </row>
    <row r="326" spans="14:14">
      <c r="N326" s="60"/>
    </row>
    <row r="327" spans="14:14">
      <c r="N327" s="60"/>
    </row>
    <row r="328" spans="14:14">
      <c r="N328" s="60"/>
    </row>
    <row r="329" spans="14:14">
      <c r="N329" s="60"/>
    </row>
    <row r="330" spans="14:14">
      <c r="N330" s="60"/>
    </row>
    <row r="331" spans="14:14">
      <c r="N331" s="60"/>
    </row>
    <row r="332" spans="14:14">
      <c r="N332" s="60"/>
    </row>
    <row r="333" spans="14:14">
      <c r="N333" s="60"/>
    </row>
    <row r="334" spans="14:14">
      <c r="N334" s="60"/>
    </row>
    <row r="335" spans="14:14">
      <c r="N335" s="60"/>
    </row>
    <row r="336" spans="14:14">
      <c r="N336" s="60"/>
    </row>
    <row r="337" spans="14:14">
      <c r="N337" s="60"/>
    </row>
    <row r="338" spans="14:14">
      <c r="N338" s="60"/>
    </row>
    <row r="339" spans="14:14">
      <c r="N339" s="60"/>
    </row>
    <row r="340" spans="14:14">
      <c r="N340" s="60"/>
    </row>
    <row r="341" spans="14:14">
      <c r="N341" s="60"/>
    </row>
    <row r="342" spans="14:14">
      <c r="N342" s="60"/>
    </row>
    <row r="343" spans="14:14">
      <c r="N343" s="60"/>
    </row>
    <row r="344" spans="14:14">
      <c r="N344" s="60"/>
    </row>
    <row r="345" spans="14:14">
      <c r="N345" s="60"/>
    </row>
    <row r="346" spans="14:14">
      <c r="N346" s="60"/>
    </row>
    <row r="347" spans="14:14">
      <c r="N347" s="60"/>
    </row>
    <row r="348" spans="14:14">
      <c r="N348" s="60"/>
    </row>
    <row r="349" spans="14:14">
      <c r="N349" s="60"/>
    </row>
    <row r="350" spans="14:14">
      <c r="N350" s="60"/>
    </row>
    <row r="351" spans="14:14">
      <c r="N351" s="60"/>
    </row>
    <row r="352" spans="14:14">
      <c r="N352" s="60"/>
    </row>
    <row r="353" spans="14:14">
      <c r="N353" s="60"/>
    </row>
    <row r="354" spans="14:14">
      <c r="N354" s="60"/>
    </row>
    <row r="355" spans="14:14">
      <c r="N355" s="60"/>
    </row>
    <row r="356" spans="14:14">
      <c r="N356" s="60"/>
    </row>
    <row r="357" spans="14:14">
      <c r="N357" s="60"/>
    </row>
    <row r="358" spans="14:14">
      <c r="N358" s="60"/>
    </row>
    <row r="359" spans="14:14">
      <c r="N359" s="60"/>
    </row>
    <row r="360" spans="14:14">
      <c r="N360" s="60"/>
    </row>
    <row r="361" spans="14:14">
      <c r="N361" s="60"/>
    </row>
    <row r="362" spans="14:14">
      <c r="N362" s="60"/>
    </row>
    <row r="363" spans="14:14">
      <c r="N363" s="60"/>
    </row>
    <row r="364" spans="14:14">
      <c r="N364" s="60"/>
    </row>
    <row r="365" spans="14:14">
      <c r="N365" s="60"/>
    </row>
    <row r="366" spans="14:14">
      <c r="N366" s="60"/>
    </row>
    <row r="367" spans="14:14">
      <c r="N367" s="60"/>
    </row>
    <row r="368" spans="14:14">
      <c r="N368" s="60"/>
    </row>
    <row r="369" spans="14:14">
      <c r="N369" s="60"/>
    </row>
    <row r="370" spans="14:14">
      <c r="N370" s="60"/>
    </row>
    <row r="371" spans="14:14">
      <c r="N371" s="60"/>
    </row>
    <row r="372" spans="14:14">
      <c r="N372" s="60"/>
    </row>
    <row r="373" spans="14:14">
      <c r="N373" s="60"/>
    </row>
    <row r="374" spans="14:14">
      <c r="N374" s="60"/>
    </row>
    <row r="375" spans="14:14">
      <c r="N375" s="60"/>
    </row>
    <row r="376" spans="14:14">
      <c r="N376" s="60"/>
    </row>
    <row r="377" spans="14:14">
      <c r="N377" s="60"/>
    </row>
    <row r="378" spans="14:14">
      <c r="N378" s="60"/>
    </row>
    <row r="379" spans="14:14">
      <c r="N379" s="60"/>
    </row>
    <row r="380" spans="14:14">
      <c r="N380" s="60"/>
    </row>
    <row r="381" spans="14:14">
      <c r="N381" s="60"/>
    </row>
    <row r="382" spans="14:14">
      <c r="N382" s="60"/>
    </row>
    <row r="383" spans="14:14">
      <c r="N383" s="60"/>
    </row>
    <row r="384" spans="14:14">
      <c r="N384" s="60"/>
    </row>
    <row r="385" spans="14:14">
      <c r="N385" s="60"/>
    </row>
    <row r="386" spans="14:14">
      <c r="N386" s="60"/>
    </row>
    <row r="387" spans="14:14">
      <c r="N387" s="60"/>
    </row>
    <row r="388" spans="14:14">
      <c r="N388" s="60"/>
    </row>
    <row r="389" spans="14:14">
      <c r="N389" s="60"/>
    </row>
    <row r="390" spans="14:14">
      <c r="N390" s="60"/>
    </row>
    <row r="391" spans="14:14">
      <c r="N391" s="60"/>
    </row>
    <row r="392" spans="14:14">
      <c r="N392" s="60"/>
    </row>
    <row r="393" spans="14:14">
      <c r="N393" s="60"/>
    </row>
    <row r="394" spans="14:14">
      <c r="N394" s="60"/>
    </row>
    <row r="395" spans="14:14">
      <c r="N395" s="60"/>
    </row>
    <row r="396" spans="14:14">
      <c r="N396" s="60"/>
    </row>
    <row r="397" spans="14:14">
      <c r="N397" s="60"/>
    </row>
    <row r="398" spans="14:14">
      <c r="N398" s="60"/>
    </row>
    <row r="399" spans="14:14">
      <c r="N399" s="60"/>
    </row>
    <row r="400" spans="14:14">
      <c r="N400" s="60"/>
    </row>
    <row r="401" spans="14:14">
      <c r="N401" s="60"/>
    </row>
    <row r="402" spans="14:14">
      <c r="N402" s="60"/>
    </row>
    <row r="403" spans="14:14">
      <c r="N403" s="60"/>
    </row>
    <row r="404" spans="14:14">
      <c r="N404" s="60"/>
    </row>
    <row r="405" spans="14:14">
      <c r="N405" s="60"/>
    </row>
    <row r="406" spans="14:14">
      <c r="N406" s="60"/>
    </row>
    <row r="407" spans="14:14">
      <c r="N407" s="60"/>
    </row>
    <row r="408" spans="14:14">
      <c r="N408" s="60"/>
    </row>
    <row r="409" spans="14:14">
      <c r="N409" s="60"/>
    </row>
    <row r="410" spans="14:14">
      <c r="N410" s="60"/>
    </row>
    <row r="411" spans="14:14">
      <c r="N411" s="60"/>
    </row>
    <row r="412" spans="14:14">
      <c r="N412" s="60"/>
    </row>
    <row r="413" spans="14:14">
      <c r="N413" s="60"/>
    </row>
    <row r="414" spans="14:14">
      <c r="N414" s="60"/>
    </row>
    <row r="415" spans="14:14">
      <c r="N415" s="60"/>
    </row>
    <row r="416" spans="14:14">
      <c r="N416" s="60"/>
    </row>
    <row r="417" spans="14:14">
      <c r="N417" s="60"/>
    </row>
    <row r="418" spans="14:14">
      <c r="N418" s="60"/>
    </row>
    <row r="419" spans="14:14">
      <c r="N419" s="60"/>
    </row>
    <row r="420" spans="14:14">
      <c r="N420" s="60"/>
    </row>
    <row r="421" spans="14:14">
      <c r="N421" s="60"/>
    </row>
    <row r="422" spans="14:14">
      <c r="N422" s="60"/>
    </row>
    <row r="423" spans="14:14">
      <c r="N423" s="60"/>
    </row>
    <row r="424" spans="14:14">
      <c r="N424" s="60"/>
    </row>
    <row r="425" spans="14:14">
      <c r="N425" s="60"/>
    </row>
    <row r="426" spans="14:14">
      <c r="N426" s="60"/>
    </row>
    <row r="427" spans="14:14">
      <c r="N427" s="60"/>
    </row>
    <row r="428" spans="14:14">
      <c r="N428" s="60"/>
    </row>
    <row r="429" spans="14:14">
      <c r="N429" s="60"/>
    </row>
    <row r="430" spans="14:14">
      <c r="N430" s="60"/>
    </row>
    <row r="431" spans="14:14">
      <c r="N431" s="60"/>
    </row>
    <row r="432" spans="14:14">
      <c r="N432" s="60"/>
    </row>
    <row r="433" spans="14:14">
      <c r="N433" s="60"/>
    </row>
    <row r="434" spans="14:14">
      <c r="N434" s="60"/>
    </row>
    <row r="435" spans="14:14">
      <c r="N435" s="60"/>
    </row>
    <row r="436" spans="14:14">
      <c r="N436" s="60"/>
    </row>
    <row r="437" spans="14:14">
      <c r="N437" s="60"/>
    </row>
    <row r="438" spans="14:14">
      <c r="N438" s="60"/>
    </row>
    <row r="439" spans="14:14">
      <c r="N439" s="60"/>
    </row>
    <row r="440" spans="14:14">
      <c r="N440" s="60"/>
    </row>
    <row r="441" spans="14:14">
      <c r="N441" s="60"/>
    </row>
    <row r="442" spans="14:14">
      <c r="N442" s="60"/>
    </row>
    <row r="443" spans="14:14">
      <c r="N443" s="60"/>
    </row>
    <row r="444" spans="14:14">
      <c r="N444" s="60"/>
    </row>
    <row r="445" spans="14:14">
      <c r="N445" s="60"/>
    </row>
    <row r="446" spans="14:14">
      <c r="N446" s="60"/>
    </row>
    <row r="447" spans="14:14">
      <c r="N447" s="60"/>
    </row>
    <row r="448" spans="14:14">
      <c r="N448" s="60"/>
    </row>
  </sheetData>
  <mergeCells count="10">
    <mergeCell ref="B1:C1"/>
    <mergeCell ref="E1:F1"/>
    <mergeCell ref="G1:H1"/>
    <mergeCell ref="H24:I24"/>
    <mergeCell ref="Q1:R1"/>
    <mergeCell ref="H25:I25"/>
    <mergeCell ref="H26:I26"/>
    <mergeCell ref="AF11:AG11"/>
    <mergeCell ref="Y11:AA11"/>
    <mergeCell ref="AB11:AE11"/>
  </mergeCells>
  <pageMargins left="0.17" right="0.17" top="0.61" bottom="0.75" header="0.3" footer="0.3"/>
  <pageSetup scale="44" fitToHeight="0" orientation="landscape" horizontalDpi="0" verticalDpi="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40962-FCB1-45F7-9CC3-2E84255FD085}">
  <sheetPr>
    <pageSetUpPr fitToPage="1"/>
  </sheetPr>
  <dimension ref="A1:AJ448"/>
  <sheetViews>
    <sheetView zoomScale="62" zoomScaleNormal="62" zoomScaleSheetLayoutView="90" workbookViewId="0">
      <selection activeCell="S11" sqref="S11"/>
    </sheetView>
  </sheetViews>
  <sheetFormatPr defaultColWidth="11.453125" defaultRowHeight="14"/>
  <cols>
    <col min="1" max="1" width="4.26953125" style="43" customWidth="1"/>
    <col min="2" max="2" width="58.453125" style="43" customWidth="1"/>
    <col min="3" max="3" width="22.26953125" style="43" customWidth="1"/>
    <col min="4" max="4" width="10.453125" style="43" bestFit="1" customWidth="1"/>
    <col min="5" max="5" width="12.7265625" style="43" customWidth="1"/>
    <col min="6" max="8" width="12.7265625" style="59" customWidth="1"/>
    <col min="9" max="9" width="17.453125" style="59" bestFit="1" customWidth="1"/>
    <col min="10" max="15" width="12.7265625" style="43" customWidth="1"/>
    <col min="16" max="16" width="17.7265625" style="43" bestFit="1" customWidth="1"/>
    <col min="17" max="17" width="15" style="43" bestFit="1" customWidth="1"/>
    <col min="18" max="18" width="16.81640625" style="43" bestFit="1" customWidth="1"/>
    <col min="19" max="19" width="13" style="43" customWidth="1"/>
    <col min="20" max="31" width="12.7265625" style="43" customWidth="1"/>
    <col min="32" max="32" width="12.7265625" style="45" customWidth="1"/>
    <col min="33" max="33" width="12.7265625" style="65" customWidth="1"/>
    <col min="34" max="34" width="15.7265625" style="43" bestFit="1" customWidth="1"/>
    <col min="35" max="35" width="21.26953125" style="43" customWidth="1"/>
    <col min="36" max="36" width="13.7265625" style="43" bestFit="1" customWidth="1"/>
    <col min="37" max="16384" width="11.453125" style="43"/>
  </cols>
  <sheetData>
    <row r="1" spans="1:36" ht="42.75" customHeight="1">
      <c r="A1" s="1"/>
      <c r="B1" s="300" t="s">
        <v>79</v>
      </c>
      <c r="C1" s="300"/>
      <c r="D1" s="2"/>
      <c r="E1" s="301" t="s">
        <v>92</v>
      </c>
      <c r="F1" s="302"/>
      <c r="G1" s="301" t="s">
        <v>0</v>
      </c>
      <c r="H1" s="302"/>
      <c r="I1" s="2"/>
      <c r="J1" s="2"/>
      <c r="Q1" s="303" t="s">
        <v>97</v>
      </c>
      <c r="R1" s="303"/>
      <c r="T1" s="2"/>
      <c r="U1" s="197"/>
      <c r="V1" s="197">
        <v>25000</v>
      </c>
      <c r="W1" s="2"/>
      <c r="X1" s="2"/>
      <c r="AF1" s="2"/>
      <c r="AG1" s="2"/>
    </row>
    <row r="2" spans="1:36" ht="23.25" customHeight="1">
      <c r="A2" s="1"/>
      <c r="B2" s="192" t="s">
        <v>121</v>
      </c>
      <c r="C2" s="164"/>
      <c r="D2" s="204"/>
      <c r="E2" s="72" t="s">
        <v>122</v>
      </c>
      <c r="F2" s="205">
        <v>650</v>
      </c>
      <c r="G2" s="72" t="str">
        <f>E2</f>
        <v>CONT 20</v>
      </c>
      <c r="H2" s="201">
        <v>650</v>
      </c>
      <c r="I2" s="198">
        <f>F2+H2+T2</f>
        <v>1550</v>
      </c>
      <c r="J2" s="2">
        <f>800+800+350</f>
        <v>1950</v>
      </c>
      <c r="P2" s="2"/>
      <c r="Q2" s="72" t="str">
        <f>G2</f>
        <v>CONT 20</v>
      </c>
      <c r="R2" s="5">
        <f>SUM(T2:T7)</f>
        <v>1010</v>
      </c>
      <c r="S2" s="43" t="s">
        <v>98</v>
      </c>
      <c r="T2" s="105">
        <v>250</v>
      </c>
      <c r="U2" s="43">
        <f>130+50+20+20+40+20</f>
        <v>280</v>
      </c>
      <c r="AF2" s="2"/>
    </row>
    <row r="3" spans="1:36" ht="20.25" customHeight="1">
      <c r="A3" s="1"/>
      <c r="B3" s="1"/>
      <c r="C3" s="1"/>
      <c r="D3" s="2"/>
      <c r="E3" s="4" t="s">
        <v>2</v>
      </c>
      <c r="F3" s="206">
        <v>0</v>
      </c>
      <c r="G3" s="4" t="s">
        <v>2</v>
      </c>
      <c r="H3" s="5">
        <v>0</v>
      </c>
      <c r="I3" s="3"/>
      <c r="J3" s="2"/>
      <c r="P3" s="2"/>
      <c r="Q3" s="4" t="s">
        <v>2</v>
      </c>
      <c r="R3" s="5">
        <v>0</v>
      </c>
      <c r="S3" s="43" t="s">
        <v>86</v>
      </c>
      <c r="T3" s="105">
        <v>100</v>
      </c>
      <c r="AF3" s="2"/>
    </row>
    <row r="4" spans="1:36" ht="21" customHeight="1">
      <c r="A4" s="2"/>
      <c r="B4" s="195" t="s">
        <v>3</v>
      </c>
      <c r="C4" s="196">
        <f ca="1" xml:space="preserve"> NOW()</f>
        <v>46304.46345023148</v>
      </c>
      <c r="D4" s="2"/>
      <c r="E4" s="4" t="s">
        <v>4</v>
      </c>
      <c r="F4" s="5">
        <v>0</v>
      </c>
      <c r="G4" s="4" t="s">
        <v>4</v>
      </c>
      <c r="H4" s="5">
        <v>0</v>
      </c>
      <c r="I4" s="3"/>
      <c r="J4" s="2"/>
      <c r="P4" s="2"/>
      <c r="Q4" s="4" t="s">
        <v>4</v>
      </c>
      <c r="R4" s="5">
        <v>0</v>
      </c>
      <c r="S4" s="2" t="s">
        <v>93</v>
      </c>
      <c r="T4" s="105">
        <v>280</v>
      </c>
      <c r="U4" s="43">
        <f>2500000+50000*E15</f>
        <v>6450000</v>
      </c>
      <c r="V4" s="43">
        <f>U4/$V$1</f>
        <v>258</v>
      </c>
      <c r="AF4" s="2"/>
      <c r="AG4" s="2"/>
    </row>
    <row r="5" spans="1:36" ht="21.75" customHeight="1">
      <c r="A5" s="2"/>
      <c r="C5" s="162"/>
      <c r="D5" s="2"/>
      <c r="E5" s="4" t="s">
        <v>6</v>
      </c>
      <c r="F5" s="6">
        <f>K15</f>
        <v>15.8</v>
      </c>
      <c r="G5" s="4" t="s">
        <v>6</v>
      </c>
      <c r="H5" s="6">
        <f>K15</f>
        <v>15.8</v>
      </c>
      <c r="I5" s="3"/>
      <c r="J5" s="2"/>
      <c r="P5" s="2"/>
      <c r="Q5" s="4" t="s">
        <v>6</v>
      </c>
      <c r="R5" s="6">
        <f>K15</f>
        <v>15.8</v>
      </c>
      <c r="S5" s="2" t="s">
        <v>65</v>
      </c>
      <c r="T5" s="105">
        <v>200</v>
      </c>
      <c r="V5" s="43">
        <f t="shared" ref="V5:V6" si="0">U5/$V$1</f>
        <v>0</v>
      </c>
      <c r="AF5" s="2"/>
      <c r="AG5" s="2"/>
    </row>
    <row r="6" spans="1:36" ht="28">
      <c r="A6" s="2"/>
      <c r="B6" s="8" t="s">
        <v>9</v>
      </c>
      <c r="C6" s="159" t="s">
        <v>10</v>
      </c>
      <c r="D6" s="2"/>
      <c r="E6" s="4" t="s">
        <v>7</v>
      </c>
      <c r="F6" s="6">
        <f>IF(ROUND(F4*F5,2)&gt;F2,ROUND(F4*F5,2)+F3,F2+F3)</f>
        <v>650</v>
      </c>
      <c r="G6" s="4" t="s">
        <v>7</v>
      </c>
      <c r="H6" s="6">
        <f>IF(ROUND(H4*H5,2)&gt;H2,ROUND(H4*H5,2)+H3,H2+H3)</f>
        <v>650</v>
      </c>
      <c r="I6" s="3"/>
      <c r="J6" s="2"/>
      <c r="P6" s="2"/>
      <c r="Q6" s="4" t="s">
        <v>7</v>
      </c>
      <c r="R6" s="6">
        <f>IF(ROUND(R4*R5,2)&gt;R2,ROUND(R4*R5,2)+R3,R2+R3+(R4*R5))</f>
        <v>1010</v>
      </c>
      <c r="S6" s="2" t="s">
        <v>66</v>
      </c>
      <c r="T6" s="105">
        <v>100</v>
      </c>
      <c r="V6" s="43">
        <f t="shared" si="0"/>
        <v>0</v>
      </c>
      <c r="W6" s="2"/>
      <c r="X6" s="2"/>
      <c r="AF6" s="2"/>
      <c r="AG6" s="2"/>
    </row>
    <row r="7" spans="1:36" ht="21.75" customHeight="1">
      <c r="A7" s="2"/>
      <c r="B7" s="11" t="s">
        <v>14</v>
      </c>
      <c r="C7" s="13">
        <v>1</v>
      </c>
      <c r="D7" s="8"/>
      <c r="E7" s="4" t="s">
        <v>8</v>
      </c>
      <c r="F7" s="6">
        <f>IF(F5&gt;0,ROUND(F6/F5,2),0)</f>
        <v>41.14</v>
      </c>
      <c r="G7" s="4" t="s">
        <v>8</v>
      </c>
      <c r="H7" s="6">
        <f>IF(H5&gt;0,ROUND(H6/H5,2),0)</f>
        <v>41.14</v>
      </c>
      <c r="I7" s="3"/>
      <c r="J7" s="2"/>
      <c r="P7" s="2"/>
      <c r="Q7" s="4" t="s">
        <v>8</v>
      </c>
      <c r="R7" s="6">
        <f>IF(R5&gt;0,ROUND(R6/R5,2),0)</f>
        <v>63.92</v>
      </c>
      <c r="S7" s="2" t="s">
        <v>94</v>
      </c>
      <c r="T7" s="105">
        <v>80</v>
      </c>
      <c r="AF7" s="2"/>
      <c r="AG7" s="2"/>
    </row>
    <row r="8" spans="1:36" ht="27" customHeight="1">
      <c r="A8" s="8"/>
      <c r="E8" s="8"/>
      <c r="F8" s="8"/>
      <c r="G8" s="8"/>
      <c r="I8" s="9" t="s">
        <v>11</v>
      </c>
      <c r="J8" s="8"/>
      <c r="P8" s="2"/>
      <c r="T8" s="10" t="s">
        <v>12</v>
      </c>
      <c r="AF8" s="8"/>
      <c r="AG8" s="8"/>
    </row>
    <row r="9" spans="1:36" ht="27" customHeight="1">
      <c r="A9" s="11"/>
      <c r="B9" s="12" t="s">
        <v>13</v>
      </c>
      <c r="C9" s="193" t="s">
        <v>123</v>
      </c>
      <c r="D9" s="11"/>
      <c r="E9" s="11"/>
      <c r="F9" s="11"/>
      <c r="G9" s="11"/>
      <c r="I9" s="207">
        <v>7.4999999999999997E-3</v>
      </c>
      <c r="J9" s="11"/>
      <c r="P9" s="2"/>
      <c r="T9" s="14">
        <v>0.3</v>
      </c>
      <c r="AF9" s="11"/>
      <c r="AG9" s="11"/>
    </row>
    <row r="10" spans="1:36" ht="30.75" customHeight="1">
      <c r="A10" s="2"/>
      <c r="B10" s="15" t="s">
        <v>15</v>
      </c>
      <c r="C10" s="194" t="s">
        <v>124</v>
      </c>
      <c r="D10" s="2"/>
      <c r="E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6" ht="25.5" customHeight="1">
      <c r="A11" s="2"/>
      <c r="B11" s="15" t="s">
        <v>16</v>
      </c>
      <c r="C11" s="194" t="s">
        <v>101</v>
      </c>
      <c r="D11" s="2"/>
      <c r="E11" s="2"/>
      <c r="F11" s="3"/>
      <c r="G11" s="3"/>
      <c r="H11" s="2"/>
      <c r="I11" s="176">
        <f>$I$14*$AH$13*2</f>
        <v>4505000</v>
      </c>
      <c r="J11" s="177"/>
      <c r="K11" s="177"/>
      <c r="L11" s="177"/>
      <c r="M11" s="177"/>
      <c r="N11" s="177"/>
      <c r="O11" s="177"/>
      <c r="P11" s="176">
        <f>$I$14*$AH$13*2.5</f>
        <v>5631250</v>
      </c>
      <c r="Q11" s="176">
        <f>$I$14*$AH$13*3</f>
        <v>6757500</v>
      </c>
      <c r="T11" s="2"/>
      <c r="U11" s="2"/>
      <c r="V11" s="2"/>
      <c r="W11" s="2"/>
      <c r="X11" s="2"/>
      <c r="Y11" s="298" t="s">
        <v>17</v>
      </c>
      <c r="Z11" s="298"/>
      <c r="AA11" s="298"/>
      <c r="AB11" s="298" t="s">
        <v>18</v>
      </c>
      <c r="AC11" s="298"/>
      <c r="AD11" s="298"/>
      <c r="AE11" s="299"/>
      <c r="AF11" s="297" t="s">
        <v>45</v>
      </c>
      <c r="AG11" s="297"/>
    </row>
    <row r="12" spans="1:36" ht="48.75" customHeight="1">
      <c r="A12" s="16"/>
      <c r="B12" s="17" t="s">
        <v>19</v>
      </c>
      <c r="C12" s="17" t="s">
        <v>80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7" t="s">
        <v>28</v>
      </c>
      <c r="L12" s="17" t="s">
        <v>29</v>
      </c>
      <c r="M12" s="17" t="s">
        <v>27</v>
      </c>
      <c r="N12" s="17" t="s">
        <v>30</v>
      </c>
      <c r="O12" s="17" t="s">
        <v>31</v>
      </c>
      <c r="P12" s="17" t="s">
        <v>89</v>
      </c>
      <c r="Q12" s="17" t="s">
        <v>90</v>
      </c>
      <c r="R12" s="17" t="s">
        <v>91</v>
      </c>
      <c r="S12" s="17" t="s">
        <v>32</v>
      </c>
      <c r="T12" s="17" t="s">
        <v>33</v>
      </c>
      <c r="U12" s="17" t="s">
        <v>99</v>
      </c>
      <c r="V12" s="17" t="s">
        <v>100</v>
      </c>
      <c r="W12" s="17" t="s">
        <v>1</v>
      </c>
      <c r="X12" s="17" t="s">
        <v>34</v>
      </c>
      <c r="Y12" s="17" t="s">
        <v>35</v>
      </c>
      <c r="Z12" s="17" t="s">
        <v>36</v>
      </c>
      <c r="AA12" s="17" t="s">
        <v>37</v>
      </c>
      <c r="AB12" s="17" t="s">
        <v>37</v>
      </c>
      <c r="AC12" s="17" t="s">
        <v>35</v>
      </c>
      <c r="AD12" s="17" t="s">
        <v>38</v>
      </c>
      <c r="AE12" s="184" t="s">
        <v>39</v>
      </c>
      <c r="AF12" s="67">
        <v>0.05</v>
      </c>
      <c r="AG12" s="70" t="s">
        <v>46</v>
      </c>
      <c r="AH12" s="30"/>
    </row>
    <row r="13" spans="1:36" s="44" customFormat="1">
      <c r="A13" s="86"/>
      <c r="B13" s="18"/>
      <c r="C13" s="18"/>
      <c r="D13" s="20"/>
      <c r="E13" s="21"/>
      <c r="F13" s="19"/>
      <c r="G13" s="22"/>
      <c r="H13" s="19"/>
      <c r="I13" s="22"/>
      <c r="J13" s="22"/>
      <c r="K13" s="22"/>
      <c r="L13" s="22"/>
      <c r="M13" s="22"/>
      <c r="N13" s="23"/>
      <c r="O13" s="23"/>
      <c r="P13" s="23"/>
      <c r="Q13" s="20"/>
      <c r="R13" s="23"/>
      <c r="S13" s="20"/>
      <c r="T13" s="23"/>
      <c r="U13" s="20"/>
      <c r="V13" s="23"/>
      <c r="W13" s="23"/>
      <c r="X13" s="23"/>
      <c r="Y13" s="23"/>
      <c r="Z13" s="23"/>
      <c r="AA13" s="23"/>
      <c r="AB13" s="182"/>
      <c r="AC13" s="23"/>
      <c r="AD13" s="23"/>
      <c r="AE13" s="185"/>
      <c r="AF13" s="187"/>
      <c r="AG13" s="188"/>
      <c r="AH13" s="190">
        <v>26500</v>
      </c>
    </row>
    <row r="14" spans="1:36" s="69" customFormat="1" ht="157.5" customHeight="1">
      <c r="A14" s="24">
        <v>1</v>
      </c>
      <c r="B14" s="103" t="s">
        <v>125</v>
      </c>
      <c r="C14" s="158"/>
      <c r="D14" s="26">
        <v>0.2</v>
      </c>
      <c r="E14" s="68">
        <v>79</v>
      </c>
      <c r="F14" s="208">
        <v>85</v>
      </c>
      <c r="G14" s="25">
        <f>F14*$C$7</f>
        <v>85</v>
      </c>
      <c r="H14" s="209">
        <v>0</v>
      </c>
      <c r="I14" s="25">
        <f>ROUND(G14*(1-H14),2)</f>
        <v>85</v>
      </c>
      <c r="J14" s="25">
        <f>ROUND(E14*I14,2)</f>
        <v>6715</v>
      </c>
      <c r="K14" s="25">
        <f>ROUND(E14*D14,2)</f>
        <v>15.8</v>
      </c>
      <c r="L14" s="25">
        <f>ROUND(K14*F$7,2)</f>
        <v>650.01</v>
      </c>
      <c r="M14" s="25">
        <f>SUM(J14,L14)</f>
        <v>7365.01</v>
      </c>
      <c r="N14" s="25">
        <f>ROUND(K14*H$7,2)</f>
        <v>650.01</v>
      </c>
      <c r="O14" s="25">
        <f>ROUND((M14+N14)*$I$9,2)</f>
        <v>60.11</v>
      </c>
      <c r="P14" s="25">
        <f>SUM(M14:O14)</f>
        <v>8075.13</v>
      </c>
      <c r="Q14" s="210">
        <v>0</v>
      </c>
      <c r="R14" s="25">
        <f>ROUND(P14/(1-Q14),2)</f>
        <v>8075.13</v>
      </c>
      <c r="S14" s="157">
        <v>0</v>
      </c>
      <c r="T14" s="25">
        <f>ROUND(R14*S14,2)</f>
        <v>0</v>
      </c>
      <c r="U14" s="157">
        <v>0</v>
      </c>
      <c r="V14" s="25">
        <f>ROUND((T14+R14)*U14,2)</f>
        <v>0</v>
      </c>
      <c r="W14" s="25">
        <f>ROUND(K14*R$7,2)</f>
        <v>1009.94</v>
      </c>
      <c r="X14" s="25">
        <f>SUM(R14,T14,V14,W14)</f>
        <v>9085.07</v>
      </c>
      <c r="Y14" s="25">
        <f>ROUND(X14/(1-T$9),2)</f>
        <v>12978.67</v>
      </c>
      <c r="Z14" s="25">
        <f>Y14-X14</f>
        <v>3893.6000000000004</v>
      </c>
      <c r="AA14" s="25">
        <f>IF(E14&gt;0,ROUND(Y14/E14,2),"NA")</f>
        <v>164.29</v>
      </c>
      <c r="AB14" s="85">
        <f>AA14</f>
        <v>164.29</v>
      </c>
      <c r="AC14" s="41">
        <f>ROUND(E14*AB14,2)</f>
        <v>12978.91</v>
      </c>
      <c r="AD14" s="211">
        <f>AC14-X14</f>
        <v>3893.84</v>
      </c>
      <c r="AE14" s="212">
        <f>IF(AC14&gt;0,AD14/AC14,"NA")</f>
        <v>0.30001286702812485</v>
      </c>
      <c r="AF14" s="213">
        <f>AC14*5%*70%</f>
        <v>454.26184999999998</v>
      </c>
      <c r="AG14" s="214">
        <f>AD14-AF14</f>
        <v>3439.5781500000003</v>
      </c>
      <c r="AH14" s="215">
        <f>ROUND(AB14*$AH$13,-3)</f>
        <v>4354000</v>
      </c>
      <c r="AI14" s="102"/>
      <c r="AJ14" s="102"/>
    </row>
    <row r="15" spans="1:36" s="45" customFormat="1" ht="21" customHeight="1" thickBot="1">
      <c r="A15" s="27"/>
      <c r="B15" s="87" t="s">
        <v>53</v>
      </c>
      <c r="C15" s="87"/>
      <c r="D15" s="29"/>
      <c r="E15" s="28">
        <f>SUM(E14:E14)</f>
        <v>79</v>
      </c>
      <c r="F15" s="28"/>
      <c r="G15" s="28"/>
      <c r="H15" s="28"/>
      <c r="I15" s="28"/>
      <c r="J15" s="28">
        <f t="shared" ref="J15:P15" si="1">SUM(J14:J14)</f>
        <v>6715</v>
      </c>
      <c r="K15" s="28">
        <f t="shared" si="1"/>
        <v>15.8</v>
      </c>
      <c r="L15" s="28">
        <f t="shared" si="1"/>
        <v>650.01</v>
      </c>
      <c r="M15" s="61">
        <f t="shared" si="1"/>
        <v>7365.01</v>
      </c>
      <c r="N15" s="28">
        <f t="shared" si="1"/>
        <v>650.01</v>
      </c>
      <c r="O15" s="28">
        <f t="shared" si="1"/>
        <v>60.11</v>
      </c>
      <c r="P15" s="61">
        <f t="shared" si="1"/>
        <v>8075.13</v>
      </c>
      <c r="Q15" s="28"/>
      <c r="R15" s="61">
        <f>SUM(R14:R14)</f>
        <v>8075.13</v>
      </c>
      <c r="S15" s="28"/>
      <c r="T15" s="61">
        <f>SUM(T14:T14)</f>
        <v>0</v>
      </c>
      <c r="U15" s="28"/>
      <c r="V15" s="28">
        <f>SUM(V14:V14)</f>
        <v>0</v>
      </c>
      <c r="W15" s="61">
        <f>SUM(W14:W14)</f>
        <v>1009.94</v>
      </c>
      <c r="X15" s="61">
        <f>SUM(X14:X14)</f>
        <v>9085.07</v>
      </c>
      <c r="Y15" s="28">
        <f>SUM(Y14:Y14)</f>
        <v>12978.67</v>
      </c>
      <c r="Z15" s="28">
        <f>SUM(Z14:Z14)</f>
        <v>3893.6000000000004</v>
      </c>
      <c r="AA15" s="28"/>
      <c r="AB15" s="28"/>
      <c r="AC15" s="28">
        <f>SUM(AC14:AC14)</f>
        <v>12978.91</v>
      </c>
      <c r="AD15" s="28">
        <f>SUM(AD14:AD14)</f>
        <v>3893.84</v>
      </c>
      <c r="AE15" s="183">
        <f>SUM(AE14:AE14)</f>
        <v>0.30001286702812485</v>
      </c>
      <c r="AF15" s="17">
        <f>SUM(AF14:AF14)</f>
        <v>454.26184999999998</v>
      </c>
      <c r="AG15" s="189">
        <f>SUM(AG14:AG14)</f>
        <v>3439.5781500000003</v>
      </c>
      <c r="AI15" s="71"/>
    </row>
    <row r="16" spans="1:36" ht="19.5" customHeight="1" thickBot="1">
      <c r="A16" s="30"/>
      <c r="B16" s="30" t="s">
        <v>40</v>
      </c>
      <c r="C16" s="30"/>
      <c r="D16" s="30"/>
      <c r="E16" s="31"/>
      <c r="F16" s="32"/>
      <c r="G16" s="32"/>
      <c r="H16" s="32"/>
      <c r="I16" s="32"/>
      <c r="J16" s="32"/>
      <c r="K16" s="32"/>
      <c r="L16" s="32"/>
      <c r="M16" s="62">
        <f>SUM(J15,L15)</f>
        <v>7365.01</v>
      </c>
      <c r="N16" s="62"/>
      <c r="O16" s="62"/>
      <c r="P16" s="62">
        <f>SUM(M15,N15,O15)</f>
        <v>8075.13</v>
      </c>
      <c r="Q16" s="62"/>
      <c r="R16" s="62">
        <f>SUM(M15,N15,O15)</f>
        <v>8075.13</v>
      </c>
      <c r="S16" s="62"/>
      <c r="T16" s="62"/>
      <c r="U16" s="62"/>
      <c r="V16" s="62"/>
      <c r="W16" s="62"/>
      <c r="X16" s="62">
        <f>SUM(R15,T15,W15,V15)</f>
        <v>9085.07</v>
      </c>
      <c r="Y16" s="62"/>
      <c r="Z16" s="62">
        <f>Y15-X15</f>
        <v>3893.6000000000004</v>
      </c>
      <c r="AA16" s="62"/>
      <c r="AB16" s="63"/>
      <c r="AC16" s="64"/>
      <c r="AD16" s="64">
        <f>AC15-X15</f>
        <v>3893.84</v>
      </c>
      <c r="AE16" s="46"/>
      <c r="AF16" s="178"/>
      <c r="AG16" s="216">
        <f>AG15/AC15</f>
        <v>0.26501286702812488</v>
      </c>
    </row>
    <row r="17" spans="1:33">
      <c r="A17" s="1"/>
      <c r="B17" s="7"/>
      <c r="C17" s="1"/>
      <c r="D17" s="1"/>
      <c r="E17" s="33"/>
      <c r="F17" s="34"/>
      <c r="G17" s="34"/>
      <c r="H17" s="34"/>
      <c r="I17" s="34"/>
      <c r="J17" s="165"/>
      <c r="K17" s="33"/>
      <c r="L17" s="33"/>
      <c r="M17" s="33"/>
      <c r="N17" s="165"/>
      <c r="O17" s="35"/>
      <c r="P17" s="35"/>
      <c r="Q17" s="35"/>
      <c r="R17" s="35"/>
      <c r="S17" s="35"/>
      <c r="T17" s="35"/>
      <c r="U17" s="35"/>
      <c r="V17" s="35"/>
      <c r="W17" s="35"/>
      <c r="X17" s="35">
        <f>X16/E15</f>
        <v>115.00088607594937</v>
      </c>
      <c r="Y17" s="33"/>
      <c r="Z17" s="217">
        <f>IF(Y15&gt;0,Z16/Y15,"NA")</f>
        <v>0.29999992295050265</v>
      </c>
      <c r="AA17" s="33"/>
      <c r="AB17" s="45"/>
    </row>
    <row r="18" spans="1:33" s="45" customFormat="1">
      <c r="A18" s="7"/>
      <c r="B18" s="7"/>
      <c r="C18" s="7"/>
      <c r="D18" s="7"/>
      <c r="E18" s="7"/>
      <c r="F18" s="36"/>
      <c r="G18" s="36"/>
      <c r="H18" s="172"/>
      <c r="I18" s="166"/>
      <c r="J18" s="166"/>
      <c r="K18" s="166"/>
      <c r="L18" s="166"/>
      <c r="M18" s="166"/>
      <c r="N18" s="166"/>
      <c r="O18" s="166"/>
      <c r="P18" s="167">
        <f>AH13</f>
        <v>26500</v>
      </c>
      <c r="R18" s="218"/>
      <c r="S18" s="7"/>
      <c r="T18" s="218">
        <f>AD16/AC15</f>
        <v>0.30001286702812485</v>
      </c>
      <c r="U18" s="7"/>
      <c r="V18" s="7"/>
      <c r="W18" s="218"/>
    </row>
    <row r="19" spans="1:33" s="45" customFormat="1" ht="18.75" customHeight="1">
      <c r="A19" s="7"/>
      <c r="B19" s="7"/>
      <c r="C19" s="7"/>
      <c r="D19" s="7"/>
      <c r="E19" s="7"/>
      <c r="F19" s="36"/>
      <c r="G19" s="36"/>
      <c r="H19" s="173" t="s">
        <v>83</v>
      </c>
      <c r="I19" s="168">
        <f>T15</f>
        <v>0</v>
      </c>
      <c r="J19" s="15"/>
      <c r="K19" s="15"/>
      <c r="L19" s="15"/>
      <c r="M19" s="15"/>
      <c r="N19" s="15"/>
      <c r="O19" s="15"/>
      <c r="P19" s="169">
        <f>I19*$P$18</f>
        <v>0</v>
      </c>
      <c r="R19" s="45" t="s">
        <v>49</v>
      </c>
      <c r="S19" s="37"/>
      <c r="T19" s="47">
        <f>SUM(R15,T15,W15,AF15)</f>
        <v>9539.3318500000005</v>
      </c>
      <c r="U19" s="38"/>
    </row>
    <row r="20" spans="1:33" s="45" customFormat="1" ht="15" customHeight="1">
      <c r="A20" s="7"/>
      <c r="B20" s="7"/>
      <c r="C20" s="7"/>
      <c r="D20" s="7"/>
      <c r="E20" s="7"/>
      <c r="F20" s="39"/>
      <c r="G20" s="39"/>
      <c r="H20" s="173" t="s">
        <v>84</v>
      </c>
      <c r="I20" s="168">
        <f>V15</f>
        <v>0</v>
      </c>
      <c r="J20" s="15"/>
      <c r="K20" s="15"/>
      <c r="L20" s="15"/>
      <c r="M20" s="15"/>
      <c r="N20" s="15"/>
      <c r="O20" s="15"/>
      <c r="P20" s="169">
        <f>I20*$P$18</f>
        <v>0</v>
      </c>
      <c r="R20" s="45" t="s">
        <v>50</v>
      </c>
      <c r="S20" s="40"/>
      <c r="T20" s="47">
        <f>AC15-T19</f>
        <v>3439.5781499999994</v>
      </c>
      <c r="U20" s="33"/>
    </row>
    <row r="21" spans="1:33" s="45" customFormat="1" ht="18.75" customHeight="1">
      <c r="A21" s="43"/>
      <c r="B21" s="43"/>
      <c r="F21" s="48"/>
      <c r="G21" s="48"/>
      <c r="H21" s="174" t="s">
        <v>85</v>
      </c>
      <c r="I21" s="72">
        <f>(R15+I19+I20)*10%</f>
        <v>807.51300000000003</v>
      </c>
      <c r="J21" s="170"/>
      <c r="K21" s="15"/>
      <c r="L21" s="15"/>
      <c r="M21" s="15"/>
      <c r="N21" s="15"/>
      <c r="O21" s="15"/>
      <c r="P21" s="169">
        <f>I21*$P$18</f>
        <v>21399094.5</v>
      </c>
      <c r="R21" s="45" t="s">
        <v>51</v>
      </c>
      <c r="S21" s="50"/>
      <c r="T21" s="219">
        <f>T20/AC15</f>
        <v>0.26501286702812482</v>
      </c>
      <c r="U21" s="51"/>
    </row>
    <row r="22" spans="1:33" s="45" customFormat="1">
      <c r="B22" s="7"/>
      <c r="F22" s="48"/>
      <c r="G22" s="48"/>
      <c r="H22" s="175"/>
      <c r="I22" s="166"/>
      <c r="J22" s="171"/>
      <c r="K22" s="166"/>
      <c r="L22" s="166"/>
      <c r="M22" s="166"/>
      <c r="N22" s="166"/>
      <c r="O22" s="166"/>
      <c r="P22" s="199">
        <f>SUM(P19:P21)</f>
        <v>21399094.5</v>
      </c>
      <c r="S22" s="50"/>
      <c r="T22" s="47"/>
      <c r="U22" s="52"/>
      <c r="AG22" s="66"/>
    </row>
    <row r="23" spans="1:33" s="45" customFormat="1">
      <c r="B23" s="43"/>
      <c r="C23" s="43"/>
      <c r="D23" s="53"/>
      <c r="E23" s="53"/>
      <c r="F23" s="48"/>
      <c r="G23" s="48"/>
      <c r="H23" s="48"/>
      <c r="I23" s="48"/>
      <c r="J23" s="49"/>
      <c r="R23" s="45" t="s">
        <v>52</v>
      </c>
      <c r="T23" s="54">
        <f>ROUND(T20*U23,2)</f>
        <v>687.92</v>
      </c>
      <c r="U23" s="220">
        <v>0.2</v>
      </c>
    </row>
    <row r="24" spans="1:33" s="45" customFormat="1">
      <c r="A24" s="43"/>
      <c r="C24" s="43"/>
      <c r="D24" s="53"/>
      <c r="E24" s="53"/>
      <c r="F24" s="48"/>
      <c r="G24" s="48"/>
      <c r="H24" s="296" t="s">
        <v>47</v>
      </c>
      <c r="I24" s="296"/>
      <c r="J24" s="171"/>
      <c r="K24" s="166"/>
      <c r="L24" s="166"/>
      <c r="M24" s="166"/>
      <c r="N24" s="166"/>
      <c r="O24" s="166"/>
      <c r="P24" s="221">
        <v>0</v>
      </c>
      <c r="R24" s="45" t="s">
        <v>41</v>
      </c>
      <c r="T24" s="47">
        <f>T20+T22-T23</f>
        <v>2751.6581499999993</v>
      </c>
      <c r="V24" s="55"/>
    </row>
    <row r="25" spans="1:33" s="45" customFormat="1">
      <c r="A25" s="43"/>
      <c r="B25" s="7"/>
      <c r="C25" s="43"/>
      <c r="D25" s="53"/>
      <c r="E25" s="53"/>
      <c r="F25" s="48"/>
      <c r="G25" s="48"/>
      <c r="H25" s="296" t="s">
        <v>43</v>
      </c>
      <c r="I25" s="296"/>
      <c r="J25" s="171"/>
      <c r="K25" s="166"/>
      <c r="L25" s="166"/>
      <c r="M25" s="166"/>
      <c r="N25" s="180"/>
      <c r="O25" s="181"/>
      <c r="P25" s="42">
        <f>AG15-P24</f>
        <v>3439.5781500000003</v>
      </c>
      <c r="Q25" s="43"/>
      <c r="R25" s="45" t="s">
        <v>42</v>
      </c>
      <c r="T25" s="219">
        <f>T24/AC15</f>
        <v>0.21200995692242255</v>
      </c>
      <c r="V25" s="43"/>
    </row>
    <row r="26" spans="1:33" s="45" customFormat="1">
      <c r="A26" s="43"/>
      <c r="B26" s="43"/>
      <c r="C26" s="43"/>
      <c r="D26" s="53"/>
      <c r="E26" s="53"/>
      <c r="F26" s="48"/>
      <c r="G26" s="48"/>
      <c r="H26" s="296" t="s">
        <v>44</v>
      </c>
      <c r="I26" s="296"/>
      <c r="J26" s="171"/>
      <c r="K26" s="166"/>
      <c r="L26" s="166"/>
      <c r="M26" s="166"/>
      <c r="N26" s="171"/>
      <c r="O26" s="166"/>
      <c r="P26" s="222">
        <f>P25/AC15</f>
        <v>0.26501286702812488</v>
      </c>
      <c r="AG26" s="66"/>
    </row>
    <row r="27" spans="1:33" s="45" customFormat="1">
      <c r="C27" s="43"/>
      <c r="D27" s="53"/>
      <c r="E27" s="53"/>
      <c r="F27" s="48"/>
      <c r="G27" s="48"/>
      <c r="H27" s="48"/>
      <c r="I27" s="48"/>
      <c r="J27" s="49"/>
      <c r="N27" s="49"/>
      <c r="AG27" s="66"/>
    </row>
    <row r="28" spans="1:33" s="45" customFormat="1">
      <c r="A28" s="43"/>
      <c r="C28" s="43"/>
      <c r="D28" s="53"/>
      <c r="E28" s="53"/>
      <c r="F28" s="48"/>
      <c r="G28" s="48"/>
      <c r="H28" s="48"/>
      <c r="I28" s="48"/>
      <c r="J28" s="49"/>
      <c r="N28" s="49"/>
    </row>
    <row r="29" spans="1:33" s="45" customFormat="1">
      <c r="A29" s="56"/>
      <c r="B29" s="43"/>
      <c r="C29" s="56"/>
      <c r="D29" s="43"/>
      <c r="E29" s="43"/>
      <c r="F29" s="48"/>
      <c r="G29" s="48"/>
      <c r="H29" s="48"/>
      <c r="I29" s="48"/>
      <c r="J29" s="49"/>
      <c r="N29" s="49"/>
    </row>
    <row r="30" spans="1:33" s="45" customFormat="1">
      <c r="B30" s="43"/>
      <c r="C30" s="43"/>
      <c r="D30" s="53"/>
      <c r="E30" s="53"/>
      <c r="F30" s="48"/>
      <c r="G30" s="48"/>
      <c r="H30" s="48"/>
      <c r="I30" s="48"/>
      <c r="J30" s="49"/>
      <c r="N30" s="49"/>
    </row>
    <row r="31" spans="1:33" s="45" customFormat="1">
      <c r="B31" s="43"/>
      <c r="C31" s="43"/>
      <c r="D31" s="57"/>
      <c r="E31" s="57"/>
      <c r="F31" s="48"/>
      <c r="G31" s="48"/>
      <c r="H31" s="48"/>
      <c r="I31" s="48"/>
      <c r="J31" s="49"/>
      <c r="N31" s="49"/>
    </row>
    <row r="32" spans="1:33" s="45" customFormat="1">
      <c r="A32" s="43"/>
      <c r="C32" s="43"/>
      <c r="D32" s="43"/>
      <c r="E32" s="43"/>
      <c r="F32" s="48"/>
      <c r="G32" s="48"/>
      <c r="H32" s="48"/>
      <c r="I32" s="48"/>
      <c r="J32" s="49"/>
      <c r="N32" s="49"/>
    </row>
    <row r="33" spans="1:33" s="45" customFormat="1">
      <c r="A33" s="43"/>
      <c r="B33" s="43"/>
      <c r="F33" s="58"/>
      <c r="G33" s="58"/>
      <c r="H33" s="58"/>
      <c r="I33" s="58"/>
      <c r="N33" s="49"/>
    </row>
    <row r="34" spans="1:33" s="45" customFormat="1">
      <c r="B34" s="56"/>
      <c r="F34" s="58"/>
      <c r="G34" s="58"/>
      <c r="H34" s="58"/>
      <c r="I34" s="58"/>
      <c r="N34" s="49"/>
    </row>
    <row r="35" spans="1:33" s="45" customFormat="1">
      <c r="F35" s="58"/>
      <c r="G35" s="58"/>
      <c r="H35" s="58"/>
      <c r="I35" s="58"/>
      <c r="N35" s="49"/>
      <c r="AG35" s="66"/>
    </row>
    <row r="36" spans="1:33" s="45" customFormat="1">
      <c r="F36" s="58"/>
      <c r="G36" s="58"/>
      <c r="H36" s="58"/>
      <c r="I36" s="58"/>
      <c r="N36" s="49"/>
      <c r="AG36" s="66"/>
    </row>
    <row r="37" spans="1:33" s="45" customFormat="1">
      <c r="B37" s="43"/>
      <c r="F37" s="58"/>
      <c r="G37" s="58"/>
      <c r="H37" s="58"/>
      <c r="I37" s="58"/>
      <c r="N37" s="49"/>
      <c r="AG37" s="66"/>
    </row>
    <row r="38" spans="1:33" s="45" customFormat="1">
      <c r="B38" s="43"/>
      <c r="F38" s="58"/>
      <c r="G38" s="58"/>
      <c r="H38" s="58"/>
      <c r="I38" s="58"/>
      <c r="N38" s="49"/>
      <c r="AG38" s="66"/>
    </row>
    <row r="39" spans="1:33" s="45" customFormat="1">
      <c r="F39" s="58"/>
      <c r="G39" s="58"/>
      <c r="H39" s="58"/>
      <c r="I39" s="58"/>
      <c r="N39" s="49"/>
      <c r="AG39" s="66"/>
    </row>
    <row r="40" spans="1:33" s="45" customFormat="1">
      <c r="F40" s="58"/>
      <c r="G40" s="58"/>
      <c r="H40" s="58"/>
      <c r="I40" s="58"/>
      <c r="N40" s="49"/>
      <c r="AG40" s="66"/>
    </row>
    <row r="41" spans="1:33" s="45" customFormat="1">
      <c r="F41" s="58"/>
      <c r="G41" s="58"/>
      <c r="H41" s="58"/>
      <c r="I41" s="58"/>
      <c r="N41" s="49"/>
      <c r="AG41" s="66"/>
    </row>
    <row r="42" spans="1:33" s="45" customFormat="1">
      <c r="F42" s="58"/>
      <c r="G42" s="58"/>
      <c r="H42" s="58"/>
      <c r="I42" s="58"/>
      <c r="N42" s="49"/>
      <c r="AG42" s="66"/>
    </row>
    <row r="43" spans="1:33" s="45" customFormat="1">
      <c r="F43" s="58"/>
      <c r="G43" s="58"/>
      <c r="H43" s="58"/>
      <c r="I43" s="58"/>
      <c r="N43" s="49"/>
      <c r="AG43" s="66"/>
    </row>
    <row r="44" spans="1:33" s="45" customFormat="1">
      <c r="F44" s="58"/>
      <c r="G44" s="58"/>
      <c r="H44" s="58"/>
      <c r="I44" s="58"/>
      <c r="N44" s="49"/>
      <c r="AG44" s="66"/>
    </row>
    <row r="45" spans="1:33" s="45" customFormat="1">
      <c r="F45" s="58"/>
      <c r="G45" s="58"/>
      <c r="H45" s="58"/>
      <c r="I45" s="58"/>
      <c r="N45" s="49"/>
      <c r="AG45" s="66"/>
    </row>
    <row r="46" spans="1:33" s="45" customFormat="1">
      <c r="F46" s="58"/>
      <c r="G46" s="58"/>
      <c r="H46" s="58"/>
      <c r="I46" s="58"/>
      <c r="N46" s="49"/>
      <c r="AG46" s="66"/>
    </row>
    <row r="47" spans="1:33" s="45" customFormat="1">
      <c r="F47" s="58"/>
      <c r="G47" s="58"/>
      <c r="H47" s="58"/>
      <c r="I47" s="58"/>
      <c r="N47" s="49"/>
      <c r="AG47" s="66"/>
    </row>
    <row r="48" spans="1:33" s="45" customFormat="1">
      <c r="F48" s="58"/>
      <c r="G48" s="58"/>
      <c r="H48" s="58"/>
      <c r="I48" s="58"/>
      <c r="N48" s="49"/>
      <c r="AG48" s="66"/>
    </row>
    <row r="49" spans="6:33" s="45" customFormat="1">
      <c r="F49" s="58"/>
      <c r="G49" s="58"/>
      <c r="H49" s="58"/>
      <c r="I49" s="58"/>
      <c r="N49" s="49"/>
      <c r="AG49" s="66"/>
    </row>
    <row r="50" spans="6:33" s="45" customFormat="1">
      <c r="F50" s="58"/>
      <c r="G50" s="58"/>
      <c r="H50" s="58"/>
      <c r="I50" s="58"/>
      <c r="N50" s="49"/>
      <c r="AG50" s="66"/>
    </row>
    <row r="51" spans="6:33" s="45" customFormat="1">
      <c r="F51" s="58"/>
      <c r="G51" s="58"/>
      <c r="H51" s="58"/>
      <c r="I51" s="58"/>
      <c r="N51" s="49"/>
      <c r="AG51" s="66"/>
    </row>
    <row r="52" spans="6:33" s="45" customFormat="1">
      <c r="F52" s="58"/>
      <c r="G52" s="58"/>
      <c r="H52" s="58"/>
      <c r="I52" s="58"/>
      <c r="N52" s="49"/>
      <c r="AG52" s="66"/>
    </row>
    <row r="53" spans="6:33" s="45" customFormat="1">
      <c r="F53" s="58"/>
      <c r="G53" s="58"/>
      <c r="H53" s="58"/>
      <c r="I53" s="58"/>
      <c r="N53" s="49"/>
      <c r="AG53" s="66"/>
    </row>
    <row r="54" spans="6:33" s="45" customFormat="1">
      <c r="F54" s="58"/>
      <c r="G54" s="58"/>
      <c r="H54" s="58"/>
      <c r="I54" s="58"/>
      <c r="N54" s="49"/>
      <c r="AG54" s="66"/>
    </row>
    <row r="55" spans="6:33" s="45" customFormat="1">
      <c r="F55" s="58"/>
      <c r="G55" s="58"/>
      <c r="H55" s="58"/>
      <c r="I55" s="58"/>
      <c r="N55" s="49"/>
      <c r="AG55" s="66"/>
    </row>
    <row r="56" spans="6:33">
      <c r="N56" s="60"/>
    </row>
    <row r="57" spans="6:33">
      <c r="N57" s="60"/>
    </row>
    <row r="58" spans="6:33">
      <c r="N58" s="60"/>
    </row>
    <row r="59" spans="6:33">
      <c r="N59" s="60"/>
    </row>
    <row r="60" spans="6:33">
      <c r="N60" s="60"/>
    </row>
    <row r="61" spans="6:33">
      <c r="N61" s="60"/>
    </row>
    <row r="62" spans="6:33">
      <c r="N62" s="60"/>
    </row>
    <row r="63" spans="6:33">
      <c r="N63" s="60"/>
    </row>
    <row r="64" spans="6:33">
      <c r="N64" s="60"/>
    </row>
    <row r="65" spans="14:14">
      <c r="N65" s="60"/>
    </row>
    <row r="66" spans="14:14">
      <c r="N66" s="60"/>
    </row>
    <row r="67" spans="14:14">
      <c r="N67" s="60"/>
    </row>
    <row r="68" spans="14:14">
      <c r="N68" s="60"/>
    </row>
    <row r="69" spans="14:14">
      <c r="N69" s="60"/>
    </row>
    <row r="70" spans="14:14">
      <c r="N70" s="60"/>
    </row>
    <row r="71" spans="14:14">
      <c r="N71" s="60"/>
    </row>
    <row r="72" spans="14:14">
      <c r="N72" s="60"/>
    </row>
    <row r="73" spans="14:14">
      <c r="N73" s="60"/>
    </row>
    <row r="74" spans="14:14">
      <c r="N74" s="60"/>
    </row>
    <row r="75" spans="14:14">
      <c r="N75" s="60"/>
    </row>
    <row r="76" spans="14:14">
      <c r="N76" s="60"/>
    </row>
    <row r="77" spans="14:14">
      <c r="N77" s="60"/>
    </row>
    <row r="78" spans="14:14">
      <c r="N78" s="60"/>
    </row>
    <row r="79" spans="14:14">
      <c r="N79" s="60"/>
    </row>
    <row r="80" spans="14:14">
      <c r="N80" s="60"/>
    </row>
    <row r="81" spans="14:14">
      <c r="N81" s="60"/>
    </row>
    <row r="82" spans="14:14">
      <c r="N82" s="60"/>
    </row>
    <row r="83" spans="14:14">
      <c r="N83" s="60"/>
    </row>
    <row r="84" spans="14:14">
      <c r="N84" s="60"/>
    </row>
    <row r="85" spans="14:14">
      <c r="N85" s="60"/>
    </row>
    <row r="86" spans="14:14">
      <c r="N86" s="60"/>
    </row>
    <row r="87" spans="14:14">
      <c r="N87" s="60"/>
    </row>
    <row r="88" spans="14:14">
      <c r="N88" s="60"/>
    </row>
    <row r="89" spans="14:14">
      <c r="N89" s="60"/>
    </row>
    <row r="90" spans="14:14">
      <c r="N90" s="60"/>
    </row>
    <row r="91" spans="14:14">
      <c r="N91" s="60"/>
    </row>
    <row r="92" spans="14:14">
      <c r="N92" s="60"/>
    </row>
    <row r="93" spans="14:14">
      <c r="N93" s="60"/>
    </row>
    <row r="94" spans="14:14">
      <c r="N94" s="60"/>
    </row>
    <row r="95" spans="14:14">
      <c r="N95" s="60"/>
    </row>
    <row r="96" spans="14:14">
      <c r="N96" s="60"/>
    </row>
    <row r="97" spans="14:14">
      <c r="N97" s="60"/>
    </row>
    <row r="98" spans="14:14">
      <c r="N98" s="60"/>
    </row>
    <row r="99" spans="14:14">
      <c r="N99" s="60"/>
    </row>
    <row r="100" spans="14:14">
      <c r="N100" s="60"/>
    </row>
    <row r="101" spans="14:14">
      <c r="N101" s="60"/>
    </row>
    <row r="102" spans="14:14">
      <c r="N102" s="60"/>
    </row>
    <row r="103" spans="14:14">
      <c r="N103" s="60"/>
    </row>
    <row r="104" spans="14:14">
      <c r="N104" s="60"/>
    </row>
    <row r="105" spans="14:14">
      <c r="N105" s="60"/>
    </row>
    <row r="106" spans="14:14">
      <c r="N106" s="60"/>
    </row>
    <row r="107" spans="14:14">
      <c r="N107" s="60"/>
    </row>
    <row r="108" spans="14:14">
      <c r="N108" s="60"/>
    </row>
    <row r="109" spans="14:14">
      <c r="N109" s="60"/>
    </row>
    <row r="110" spans="14:14">
      <c r="N110" s="60"/>
    </row>
    <row r="111" spans="14:14">
      <c r="N111" s="60"/>
    </row>
    <row r="112" spans="14:14">
      <c r="N112" s="60"/>
    </row>
    <row r="113" spans="14:14">
      <c r="N113" s="60"/>
    </row>
    <row r="114" spans="14:14">
      <c r="N114" s="60"/>
    </row>
    <row r="115" spans="14:14">
      <c r="N115" s="60"/>
    </row>
    <row r="116" spans="14:14">
      <c r="N116" s="60"/>
    </row>
    <row r="117" spans="14:14">
      <c r="N117" s="60"/>
    </row>
    <row r="118" spans="14:14">
      <c r="N118" s="60"/>
    </row>
    <row r="119" spans="14:14">
      <c r="N119" s="60"/>
    </row>
    <row r="120" spans="14:14">
      <c r="N120" s="60"/>
    </row>
    <row r="121" spans="14:14">
      <c r="N121" s="60"/>
    </row>
    <row r="122" spans="14:14">
      <c r="N122" s="60"/>
    </row>
    <row r="123" spans="14:14">
      <c r="N123" s="60"/>
    </row>
    <row r="124" spans="14:14">
      <c r="N124" s="60"/>
    </row>
    <row r="125" spans="14:14">
      <c r="N125" s="60"/>
    </row>
    <row r="126" spans="14:14">
      <c r="N126" s="60"/>
    </row>
    <row r="127" spans="14:14">
      <c r="N127" s="60"/>
    </row>
    <row r="128" spans="14:14">
      <c r="N128" s="60"/>
    </row>
    <row r="129" spans="14:14">
      <c r="N129" s="60"/>
    </row>
    <row r="130" spans="14:14">
      <c r="N130" s="60"/>
    </row>
    <row r="131" spans="14:14">
      <c r="N131" s="60"/>
    </row>
    <row r="132" spans="14:14">
      <c r="N132" s="60"/>
    </row>
    <row r="133" spans="14:14">
      <c r="N133" s="60"/>
    </row>
    <row r="134" spans="14:14">
      <c r="N134" s="60"/>
    </row>
    <row r="135" spans="14:14">
      <c r="N135" s="60"/>
    </row>
    <row r="136" spans="14:14">
      <c r="N136" s="60"/>
    </row>
    <row r="137" spans="14:14">
      <c r="N137" s="60"/>
    </row>
    <row r="138" spans="14:14">
      <c r="N138" s="60"/>
    </row>
    <row r="139" spans="14:14">
      <c r="N139" s="60"/>
    </row>
    <row r="140" spans="14:14">
      <c r="N140" s="60"/>
    </row>
    <row r="141" spans="14:14">
      <c r="N141" s="60"/>
    </row>
    <row r="142" spans="14:14">
      <c r="N142" s="60"/>
    </row>
    <row r="143" spans="14:14">
      <c r="N143" s="60"/>
    </row>
    <row r="144" spans="14:14">
      <c r="N144" s="60"/>
    </row>
    <row r="145" spans="14:14">
      <c r="N145" s="60"/>
    </row>
    <row r="146" spans="14:14">
      <c r="N146" s="60"/>
    </row>
    <row r="147" spans="14:14">
      <c r="N147" s="60"/>
    </row>
    <row r="148" spans="14:14">
      <c r="N148" s="60"/>
    </row>
    <row r="149" spans="14:14">
      <c r="N149" s="60"/>
    </row>
    <row r="150" spans="14:14">
      <c r="N150" s="60"/>
    </row>
    <row r="151" spans="14:14">
      <c r="N151" s="60"/>
    </row>
    <row r="152" spans="14:14">
      <c r="N152" s="60"/>
    </row>
    <row r="153" spans="14:14">
      <c r="N153" s="60"/>
    </row>
    <row r="154" spans="14:14">
      <c r="N154" s="60"/>
    </row>
    <row r="155" spans="14:14">
      <c r="N155" s="60"/>
    </row>
    <row r="156" spans="14:14">
      <c r="N156" s="60"/>
    </row>
    <row r="157" spans="14:14">
      <c r="N157" s="60"/>
    </row>
    <row r="158" spans="14:14">
      <c r="N158" s="60"/>
    </row>
    <row r="159" spans="14:14">
      <c r="N159" s="60"/>
    </row>
    <row r="160" spans="14:14">
      <c r="N160" s="60"/>
    </row>
    <row r="161" spans="14:14">
      <c r="N161" s="60"/>
    </row>
    <row r="162" spans="14:14">
      <c r="N162" s="60"/>
    </row>
    <row r="163" spans="14:14">
      <c r="N163" s="60"/>
    </row>
    <row r="164" spans="14:14">
      <c r="N164" s="60"/>
    </row>
    <row r="165" spans="14:14">
      <c r="N165" s="60"/>
    </row>
    <row r="166" spans="14:14">
      <c r="N166" s="60"/>
    </row>
    <row r="167" spans="14:14">
      <c r="N167" s="60"/>
    </row>
    <row r="168" spans="14:14">
      <c r="N168" s="60"/>
    </row>
    <row r="169" spans="14:14">
      <c r="N169" s="60"/>
    </row>
    <row r="170" spans="14:14">
      <c r="N170" s="60"/>
    </row>
    <row r="171" spans="14:14">
      <c r="N171" s="60"/>
    </row>
    <row r="172" spans="14:14">
      <c r="N172" s="60"/>
    </row>
    <row r="173" spans="14:14">
      <c r="N173" s="60"/>
    </row>
    <row r="174" spans="14:14">
      <c r="N174" s="60"/>
    </row>
    <row r="175" spans="14:14">
      <c r="N175" s="60"/>
    </row>
    <row r="176" spans="14:14">
      <c r="N176" s="60"/>
    </row>
    <row r="177" spans="14:14">
      <c r="N177" s="60"/>
    </row>
    <row r="178" spans="14:14">
      <c r="N178" s="60"/>
    </row>
    <row r="179" spans="14:14">
      <c r="N179" s="60"/>
    </row>
    <row r="180" spans="14:14">
      <c r="N180" s="60"/>
    </row>
    <row r="181" spans="14:14">
      <c r="N181" s="60"/>
    </row>
    <row r="182" spans="14:14">
      <c r="N182" s="60"/>
    </row>
    <row r="183" spans="14:14">
      <c r="N183" s="60"/>
    </row>
    <row r="184" spans="14:14">
      <c r="N184" s="60"/>
    </row>
    <row r="185" spans="14:14">
      <c r="N185" s="60"/>
    </row>
    <row r="186" spans="14:14">
      <c r="N186" s="60"/>
    </row>
    <row r="187" spans="14:14">
      <c r="N187" s="60"/>
    </row>
    <row r="188" spans="14:14">
      <c r="N188" s="60"/>
    </row>
    <row r="189" spans="14:14">
      <c r="N189" s="60"/>
    </row>
    <row r="190" spans="14:14">
      <c r="N190" s="60"/>
    </row>
    <row r="191" spans="14:14">
      <c r="N191" s="60"/>
    </row>
    <row r="192" spans="14:14">
      <c r="N192" s="60"/>
    </row>
    <row r="193" spans="14:14">
      <c r="N193" s="60"/>
    </row>
    <row r="194" spans="14:14">
      <c r="N194" s="60"/>
    </row>
    <row r="195" spans="14:14">
      <c r="N195" s="60"/>
    </row>
    <row r="196" spans="14:14">
      <c r="N196" s="60"/>
    </row>
    <row r="197" spans="14:14">
      <c r="N197" s="60"/>
    </row>
    <row r="198" spans="14:14">
      <c r="N198" s="60"/>
    </row>
    <row r="199" spans="14:14">
      <c r="N199" s="60"/>
    </row>
    <row r="200" spans="14:14">
      <c r="N200" s="60"/>
    </row>
    <row r="201" spans="14:14">
      <c r="N201" s="60"/>
    </row>
    <row r="202" spans="14:14">
      <c r="N202" s="60"/>
    </row>
    <row r="203" spans="14:14">
      <c r="N203" s="60"/>
    </row>
    <row r="204" spans="14:14">
      <c r="N204" s="60"/>
    </row>
    <row r="205" spans="14:14">
      <c r="N205" s="60"/>
    </row>
    <row r="206" spans="14:14">
      <c r="N206" s="60"/>
    </row>
    <row r="207" spans="14:14">
      <c r="N207" s="60"/>
    </row>
    <row r="208" spans="14:14">
      <c r="N208" s="60"/>
    </row>
    <row r="209" spans="14:14">
      <c r="N209" s="60"/>
    </row>
    <row r="210" spans="14:14">
      <c r="N210" s="60"/>
    </row>
    <row r="211" spans="14:14">
      <c r="N211" s="60"/>
    </row>
    <row r="212" spans="14:14">
      <c r="N212" s="60"/>
    </row>
    <row r="213" spans="14:14">
      <c r="N213" s="60"/>
    </row>
    <row r="214" spans="14:14">
      <c r="N214" s="60"/>
    </row>
    <row r="215" spans="14:14">
      <c r="N215" s="60"/>
    </row>
    <row r="216" spans="14:14">
      <c r="N216" s="60"/>
    </row>
    <row r="217" spans="14:14">
      <c r="N217" s="60"/>
    </row>
    <row r="218" spans="14:14">
      <c r="N218" s="60"/>
    </row>
    <row r="219" spans="14:14">
      <c r="N219" s="60"/>
    </row>
    <row r="220" spans="14:14">
      <c r="N220" s="60"/>
    </row>
    <row r="221" spans="14:14">
      <c r="N221" s="60"/>
    </row>
    <row r="222" spans="14:14">
      <c r="N222" s="60"/>
    </row>
    <row r="223" spans="14:14">
      <c r="N223" s="60"/>
    </row>
    <row r="224" spans="14:14">
      <c r="N224" s="60"/>
    </row>
    <row r="225" spans="14:14">
      <c r="N225" s="60"/>
    </row>
    <row r="226" spans="14:14">
      <c r="N226" s="60"/>
    </row>
    <row r="227" spans="14:14">
      <c r="N227" s="60"/>
    </row>
    <row r="228" spans="14:14">
      <c r="N228" s="60"/>
    </row>
    <row r="229" spans="14:14">
      <c r="N229" s="60"/>
    </row>
    <row r="230" spans="14:14">
      <c r="N230" s="60"/>
    </row>
    <row r="231" spans="14:14">
      <c r="N231" s="60"/>
    </row>
    <row r="232" spans="14:14">
      <c r="N232" s="60"/>
    </row>
    <row r="233" spans="14:14">
      <c r="N233" s="60"/>
    </row>
    <row r="234" spans="14:14">
      <c r="N234" s="60"/>
    </row>
    <row r="235" spans="14:14">
      <c r="N235" s="60"/>
    </row>
    <row r="236" spans="14:14">
      <c r="N236" s="60"/>
    </row>
    <row r="237" spans="14:14">
      <c r="N237" s="60"/>
    </row>
    <row r="238" spans="14:14">
      <c r="N238" s="60"/>
    </row>
    <row r="239" spans="14:14">
      <c r="N239" s="60"/>
    </row>
    <row r="240" spans="14:14">
      <c r="N240" s="60"/>
    </row>
    <row r="241" spans="14:14">
      <c r="N241" s="60"/>
    </row>
    <row r="242" spans="14:14">
      <c r="N242" s="60"/>
    </row>
    <row r="243" spans="14:14">
      <c r="N243" s="60"/>
    </row>
    <row r="244" spans="14:14">
      <c r="N244" s="60"/>
    </row>
    <row r="245" spans="14:14">
      <c r="N245" s="60"/>
    </row>
    <row r="246" spans="14:14">
      <c r="N246" s="60"/>
    </row>
    <row r="247" spans="14:14">
      <c r="N247" s="60"/>
    </row>
    <row r="248" spans="14:14">
      <c r="N248" s="60"/>
    </row>
    <row r="249" spans="14:14">
      <c r="N249" s="60"/>
    </row>
    <row r="250" spans="14:14">
      <c r="N250" s="60"/>
    </row>
    <row r="251" spans="14:14">
      <c r="N251" s="60"/>
    </row>
    <row r="252" spans="14:14">
      <c r="N252" s="60"/>
    </row>
    <row r="253" spans="14:14">
      <c r="N253" s="60"/>
    </row>
    <row r="254" spans="14:14">
      <c r="N254" s="60"/>
    </row>
    <row r="255" spans="14:14">
      <c r="N255" s="60"/>
    </row>
    <row r="256" spans="14:14">
      <c r="N256" s="60"/>
    </row>
    <row r="257" spans="14:14">
      <c r="N257" s="60"/>
    </row>
    <row r="258" spans="14:14">
      <c r="N258" s="60"/>
    </row>
    <row r="259" spans="14:14">
      <c r="N259" s="60"/>
    </row>
    <row r="260" spans="14:14">
      <c r="N260" s="60"/>
    </row>
    <row r="261" spans="14:14">
      <c r="N261" s="60"/>
    </row>
    <row r="262" spans="14:14">
      <c r="N262" s="60"/>
    </row>
    <row r="263" spans="14:14">
      <c r="N263" s="60"/>
    </row>
    <row r="264" spans="14:14">
      <c r="N264" s="60"/>
    </row>
    <row r="265" spans="14:14">
      <c r="N265" s="60"/>
    </row>
    <row r="266" spans="14:14">
      <c r="N266" s="60"/>
    </row>
    <row r="267" spans="14:14">
      <c r="N267" s="60"/>
    </row>
    <row r="268" spans="14:14">
      <c r="N268" s="60"/>
    </row>
    <row r="269" spans="14:14">
      <c r="N269" s="60"/>
    </row>
    <row r="270" spans="14:14">
      <c r="N270" s="60"/>
    </row>
    <row r="271" spans="14:14">
      <c r="N271" s="60"/>
    </row>
    <row r="272" spans="14:14">
      <c r="N272" s="60"/>
    </row>
    <row r="273" spans="14:14">
      <c r="N273" s="60"/>
    </row>
    <row r="274" spans="14:14">
      <c r="N274" s="60"/>
    </row>
    <row r="275" spans="14:14">
      <c r="N275" s="60"/>
    </row>
    <row r="276" spans="14:14">
      <c r="N276" s="60"/>
    </row>
    <row r="277" spans="14:14">
      <c r="N277" s="60"/>
    </row>
    <row r="278" spans="14:14">
      <c r="N278" s="60"/>
    </row>
    <row r="279" spans="14:14">
      <c r="N279" s="60"/>
    </row>
    <row r="280" spans="14:14">
      <c r="N280" s="60"/>
    </row>
    <row r="281" spans="14:14">
      <c r="N281" s="60"/>
    </row>
    <row r="282" spans="14:14">
      <c r="N282" s="60"/>
    </row>
    <row r="283" spans="14:14">
      <c r="N283" s="60"/>
    </row>
    <row r="284" spans="14:14">
      <c r="N284" s="60"/>
    </row>
    <row r="285" spans="14:14">
      <c r="N285" s="60"/>
    </row>
    <row r="286" spans="14:14">
      <c r="N286" s="60"/>
    </row>
    <row r="287" spans="14:14">
      <c r="N287" s="60"/>
    </row>
    <row r="288" spans="14:14">
      <c r="N288" s="60"/>
    </row>
    <row r="289" spans="14:14">
      <c r="N289" s="60"/>
    </row>
    <row r="290" spans="14:14">
      <c r="N290" s="60"/>
    </row>
    <row r="291" spans="14:14">
      <c r="N291" s="60"/>
    </row>
    <row r="292" spans="14:14">
      <c r="N292" s="60"/>
    </row>
    <row r="293" spans="14:14">
      <c r="N293" s="60"/>
    </row>
    <row r="294" spans="14:14">
      <c r="N294" s="60"/>
    </row>
    <row r="295" spans="14:14">
      <c r="N295" s="60"/>
    </row>
    <row r="296" spans="14:14">
      <c r="N296" s="60"/>
    </row>
    <row r="297" spans="14:14">
      <c r="N297" s="60"/>
    </row>
    <row r="298" spans="14:14">
      <c r="N298" s="60"/>
    </row>
    <row r="299" spans="14:14">
      <c r="N299" s="60"/>
    </row>
    <row r="300" spans="14:14">
      <c r="N300" s="60"/>
    </row>
    <row r="301" spans="14:14">
      <c r="N301" s="60"/>
    </row>
    <row r="302" spans="14:14">
      <c r="N302" s="60"/>
    </row>
    <row r="303" spans="14:14">
      <c r="N303" s="60"/>
    </row>
    <row r="304" spans="14:14">
      <c r="N304" s="60"/>
    </row>
    <row r="305" spans="14:14">
      <c r="N305" s="60"/>
    </row>
    <row r="306" spans="14:14">
      <c r="N306" s="60"/>
    </row>
    <row r="307" spans="14:14">
      <c r="N307" s="60"/>
    </row>
    <row r="308" spans="14:14">
      <c r="N308" s="60"/>
    </row>
    <row r="309" spans="14:14">
      <c r="N309" s="60"/>
    </row>
    <row r="310" spans="14:14">
      <c r="N310" s="60"/>
    </row>
    <row r="311" spans="14:14">
      <c r="N311" s="60"/>
    </row>
    <row r="312" spans="14:14">
      <c r="N312" s="60"/>
    </row>
    <row r="313" spans="14:14">
      <c r="N313" s="60"/>
    </row>
    <row r="314" spans="14:14">
      <c r="N314" s="60"/>
    </row>
    <row r="315" spans="14:14">
      <c r="N315" s="60"/>
    </row>
    <row r="316" spans="14:14">
      <c r="N316" s="60"/>
    </row>
    <row r="317" spans="14:14">
      <c r="N317" s="60"/>
    </row>
    <row r="318" spans="14:14">
      <c r="N318" s="60"/>
    </row>
    <row r="319" spans="14:14">
      <c r="N319" s="60"/>
    </row>
    <row r="320" spans="14:14">
      <c r="N320" s="60"/>
    </row>
    <row r="321" spans="14:14">
      <c r="N321" s="60"/>
    </row>
    <row r="322" spans="14:14">
      <c r="N322" s="60"/>
    </row>
    <row r="323" spans="14:14">
      <c r="N323" s="60"/>
    </row>
    <row r="324" spans="14:14">
      <c r="N324" s="60"/>
    </row>
    <row r="325" spans="14:14">
      <c r="N325" s="60"/>
    </row>
    <row r="326" spans="14:14">
      <c r="N326" s="60"/>
    </row>
    <row r="327" spans="14:14">
      <c r="N327" s="60"/>
    </row>
    <row r="328" spans="14:14">
      <c r="N328" s="60"/>
    </row>
    <row r="329" spans="14:14">
      <c r="N329" s="60"/>
    </row>
    <row r="330" spans="14:14">
      <c r="N330" s="60"/>
    </row>
    <row r="331" spans="14:14">
      <c r="N331" s="60"/>
    </row>
    <row r="332" spans="14:14">
      <c r="N332" s="60"/>
    </row>
    <row r="333" spans="14:14">
      <c r="N333" s="60"/>
    </row>
    <row r="334" spans="14:14">
      <c r="N334" s="60"/>
    </row>
    <row r="335" spans="14:14">
      <c r="N335" s="60"/>
    </row>
    <row r="336" spans="14:14">
      <c r="N336" s="60"/>
    </row>
    <row r="337" spans="14:14">
      <c r="N337" s="60"/>
    </row>
    <row r="338" spans="14:14">
      <c r="N338" s="60"/>
    </row>
    <row r="339" spans="14:14">
      <c r="N339" s="60"/>
    </row>
    <row r="340" spans="14:14">
      <c r="N340" s="60"/>
    </row>
    <row r="341" spans="14:14">
      <c r="N341" s="60"/>
    </row>
    <row r="342" spans="14:14">
      <c r="N342" s="60"/>
    </row>
    <row r="343" spans="14:14">
      <c r="N343" s="60"/>
    </row>
    <row r="344" spans="14:14">
      <c r="N344" s="60"/>
    </row>
    <row r="345" spans="14:14">
      <c r="N345" s="60"/>
    </row>
    <row r="346" spans="14:14">
      <c r="N346" s="60"/>
    </row>
    <row r="347" spans="14:14">
      <c r="N347" s="60"/>
    </row>
    <row r="348" spans="14:14">
      <c r="N348" s="60"/>
    </row>
    <row r="349" spans="14:14">
      <c r="N349" s="60"/>
    </row>
    <row r="350" spans="14:14">
      <c r="N350" s="60"/>
    </row>
    <row r="351" spans="14:14">
      <c r="N351" s="60"/>
    </row>
    <row r="352" spans="14:14">
      <c r="N352" s="60"/>
    </row>
    <row r="353" spans="14:14">
      <c r="N353" s="60"/>
    </row>
    <row r="354" spans="14:14">
      <c r="N354" s="60"/>
    </row>
    <row r="355" spans="14:14">
      <c r="N355" s="60"/>
    </row>
    <row r="356" spans="14:14">
      <c r="N356" s="60"/>
    </row>
    <row r="357" spans="14:14">
      <c r="N357" s="60"/>
    </row>
    <row r="358" spans="14:14">
      <c r="N358" s="60"/>
    </row>
    <row r="359" spans="14:14">
      <c r="N359" s="60"/>
    </row>
    <row r="360" spans="14:14">
      <c r="N360" s="60"/>
    </row>
    <row r="361" spans="14:14">
      <c r="N361" s="60"/>
    </row>
    <row r="362" spans="14:14">
      <c r="N362" s="60"/>
    </row>
    <row r="363" spans="14:14">
      <c r="N363" s="60"/>
    </row>
    <row r="364" spans="14:14">
      <c r="N364" s="60"/>
    </row>
    <row r="365" spans="14:14">
      <c r="N365" s="60"/>
    </row>
    <row r="366" spans="14:14">
      <c r="N366" s="60"/>
    </row>
    <row r="367" spans="14:14">
      <c r="N367" s="60"/>
    </row>
    <row r="368" spans="14:14">
      <c r="N368" s="60"/>
    </row>
    <row r="369" spans="14:14">
      <c r="N369" s="60"/>
    </row>
    <row r="370" spans="14:14">
      <c r="N370" s="60"/>
    </row>
    <row r="371" spans="14:14">
      <c r="N371" s="60"/>
    </row>
    <row r="372" spans="14:14">
      <c r="N372" s="60"/>
    </row>
    <row r="373" spans="14:14">
      <c r="N373" s="60"/>
    </row>
    <row r="374" spans="14:14">
      <c r="N374" s="60"/>
    </row>
    <row r="375" spans="14:14">
      <c r="N375" s="60"/>
    </row>
    <row r="376" spans="14:14">
      <c r="N376" s="60"/>
    </row>
    <row r="377" spans="14:14">
      <c r="N377" s="60"/>
    </row>
    <row r="378" spans="14:14">
      <c r="N378" s="60"/>
    </row>
    <row r="379" spans="14:14">
      <c r="N379" s="60"/>
    </row>
    <row r="380" spans="14:14">
      <c r="N380" s="60"/>
    </row>
    <row r="381" spans="14:14">
      <c r="N381" s="60"/>
    </row>
    <row r="382" spans="14:14">
      <c r="N382" s="60"/>
    </row>
    <row r="383" spans="14:14">
      <c r="N383" s="60"/>
    </row>
    <row r="384" spans="14:14">
      <c r="N384" s="60"/>
    </row>
    <row r="385" spans="14:14">
      <c r="N385" s="60"/>
    </row>
    <row r="386" spans="14:14">
      <c r="N386" s="60"/>
    </row>
    <row r="387" spans="14:14">
      <c r="N387" s="60"/>
    </row>
    <row r="388" spans="14:14">
      <c r="N388" s="60"/>
    </row>
    <row r="389" spans="14:14">
      <c r="N389" s="60"/>
    </row>
    <row r="390" spans="14:14">
      <c r="N390" s="60"/>
    </row>
    <row r="391" spans="14:14">
      <c r="N391" s="60"/>
    </row>
    <row r="392" spans="14:14">
      <c r="N392" s="60"/>
    </row>
    <row r="393" spans="14:14">
      <c r="N393" s="60"/>
    </row>
    <row r="394" spans="14:14">
      <c r="N394" s="60"/>
    </row>
    <row r="395" spans="14:14">
      <c r="N395" s="60"/>
    </row>
    <row r="396" spans="14:14">
      <c r="N396" s="60"/>
    </row>
    <row r="397" spans="14:14">
      <c r="N397" s="60"/>
    </row>
    <row r="398" spans="14:14">
      <c r="N398" s="60"/>
    </row>
    <row r="399" spans="14:14">
      <c r="N399" s="60"/>
    </row>
    <row r="400" spans="14:14">
      <c r="N400" s="60"/>
    </row>
    <row r="401" spans="14:14">
      <c r="N401" s="60"/>
    </row>
    <row r="402" spans="14:14">
      <c r="N402" s="60"/>
    </row>
    <row r="403" spans="14:14">
      <c r="N403" s="60"/>
    </row>
    <row r="404" spans="14:14">
      <c r="N404" s="60"/>
    </row>
    <row r="405" spans="14:14">
      <c r="N405" s="60"/>
    </row>
    <row r="406" spans="14:14">
      <c r="N406" s="60"/>
    </row>
    <row r="407" spans="14:14">
      <c r="N407" s="60"/>
    </row>
    <row r="408" spans="14:14">
      <c r="N408" s="60"/>
    </row>
    <row r="409" spans="14:14">
      <c r="N409" s="60"/>
    </row>
    <row r="410" spans="14:14">
      <c r="N410" s="60"/>
    </row>
    <row r="411" spans="14:14">
      <c r="N411" s="60"/>
    </row>
    <row r="412" spans="14:14">
      <c r="N412" s="60"/>
    </row>
    <row r="413" spans="14:14">
      <c r="N413" s="60"/>
    </row>
    <row r="414" spans="14:14">
      <c r="N414" s="60"/>
    </row>
    <row r="415" spans="14:14">
      <c r="N415" s="60"/>
    </row>
    <row r="416" spans="14:14">
      <c r="N416" s="60"/>
    </row>
    <row r="417" spans="14:14">
      <c r="N417" s="60"/>
    </row>
    <row r="418" spans="14:14">
      <c r="N418" s="60"/>
    </row>
    <row r="419" spans="14:14">
      <c r="N419" s="60"/>
    </row>
    <row r="420" spans="14:14">
      <c r="N420" s="60"/>
    </row>
    <row r="421" spans="14:14">
      <c r="N421" s="60"/>
    </row>
    <row r="422" spans="14:14">
      <c r="N422" s="60"/>
    </row>
    <row r="423" spans="14:14">
      <c r="N423" s="60"/>
    </row>
    <row r="424" spans="14:14">
      <c r="N424" s="60"/>
    </row>
    <row r="425" spans="14:14">
      <c r="N425" s="60"/>
    </row>
    <row r="426" spans="14:14">
      <c r="N426" s="60"/>
    </row>
    <row r="427" spans="14:14">
      <c r="N427" s="60"/>
    </row>
    <row r="428" spans="14:14">
      <c r="N428" s="60"/>
    </row>
    <row r="429" spans="14:14">
      <c r="N429" s="60"/>
    </row>
    <row r="430" spans="14:14">
      <c r="N430" s="60"/>
    </row>
    <row r="431" spans="14:14">
      <c r="N431" s="60"/>
    </row>
    <row r="432" spans="14:14">
      <c r="N432" s="60"/>
    </row>
    <row r="433" spans="14:14">
      <c r="N433" s="60"/>
    </row>
    <row r="434" spans="14:14">
      <c r="N434" s="60"/>
    </row>
    <row r="435" spans="14:14">
      <c r="N435" s="60"/>
    </row>
    <row r="436" spans="14:14">
      <c r="N436" s="60"/>
    </row>
    <row r="437" spans="14:14">
      <c r="N437" s="60"/>
    </row>
    <row r="438" spans="14:14">
      <c r="N438" s="60"/>
    </row>
    <row r="439" spans="14:14">
      <c r="N439" s="60"/>
    </row>
    <row r="440" spans="14:14">
      <c r="N440" s="60"/>
    </row>
    <row r="441" spans="14:14">
      <c r="N441" s="60"/>
    </row>
    <row r="442" spans="14:14">
      <c r="N442" s="60"/>
    </row>
    <row r="443" spans="14:14">
      <c r="N443" s="60"/>
    </row>
    <row r="444" spans="14:14">
      <c r="N444" s="60"/>
    </row>
    <row r="445" spans="14:14">
      <c r="N445" s="60"/>
    </row>
    <row r="446" spans="14:14">
      <c r="N446" s="60"/>
    </row>
    <row r="447" spans="14:14">
      <c r="N447" s="60"/>
    </row>
    <row r="448" spans="14:14">
      <c r="N448" s="60"/>
    </row>
  </sheetData>
  <mergeCells count="10">
    <mergeCell ref="AF11:AG11"/>
    <mergeCell ref="H24:I24"/>
    <mergeCell ref="H25:I25"/>
    <mergeCell ref="H26:I26"/>
    <mergeCell ref="B1:C1"/>
    <mergeCell ref="E1:F1"/>
    <mergeCell ref="G1:H1"/>
    <mergeCell ref="Q1:R1"/>
    <mergeCell ref="Y11:AA11"/>
    <mergeCell ref="AB11:AE11"/>
  </mergeCells>
  <pageMargins left="0.17" right="0.17" top="0.61" bottom="0.75" header="0.3" footer="0.3"/>
  <pageSetup scale="44" fitToHeight="0" orientation="landscape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CC9FD-67FD-461A-9DB6-5BD2D21D3CAA}">
  <sheetPr>
    <pageSetUpPr fitToPage="1"/>
  </sheetPr>
  <dimension ref="A1:AO448"/>
  <sheetViews>
    <sheetView zoomScale="55" zoomScaleNormal="55" zoomScaleSheetLayoutView="90" workbookViewId="0">
      <selection activeCell="B14" sqref="B14"/>
    </sheetView>
  </sheetViews>
  <sheetFormatPr defaultColWidth="11.453125" defaultRowHeight="14"/>
  <cols>
    <col min="1" max="1" width="4.26953125" style="43" customWidth="1"/>
    <col min="2" max="2" width="58.453125" style="43" customWidth="1"/>
    <col min="3" max="3" width="38.453125" style="43" customWidth="1"/>
    <col min="4" max="4" width="10.453125" style="43" bestFit="1" customWidth="1"/>
    <col min="5" max="5" width="12.7265625" style="43" customWidth="1"/>
    <col min="6" max="8" width="12.7265625" style="59" customWidth="1"/>
    <col min="9" max="9" width="17.453125" style="59" bestFit="1" customWidth="1"/>
    <col min="10" max="12" width="12.7265625" style="43" customWidth="1"/>
    <col min="13" max="13" width="13.453125" style="43" bestFit="1" customWidth="1"/>
    <col min="14" max="15" width="12.7265625" style="43" customWidth="1"/>
    <col min="16" max="16" width="17.7265625" style="43" bestFit="1" customWidth="1"/>
    <col min="17" max="17" width="15" style="43" bestFit="1" customWidth="1"/>
    <col min="18" max="18" width="12.7265625" style="43" customWidth="1"/>
    <col min="19" max="19" width="13" style="43" customWidth="1"/>
    <col min="20" max="20" width="20.453125" style="43" bestFit="1" customWidth="1"/>
    <col min="21" max="31" width="12.7265625" style="43" customWidth="1"/>
    <col min="32" max="32" width="12.7265625" style="45" customWidth="1"/>
    <col min="33" max="33" width="12.7265625" style="65" customWidth="1"/>
    <col min="34" max="34" width="15.7265625" style="43" bestFit="1" customWidth="1"/>
    <col min="35" max="41" width="15.7265625" style="43" customWidth="1"/>
    <col min="42" max="16384" width="11.453125" style="43"/>
  </cols>
  <sheetData>
    <row r="1" spans="1:41" ht="42.75" customHeight="1">
      <c r="A1" s="1"/>
      <c r="B1" s="300" t="s">
        <v>79</v>
      </c>
      <c r="C1" s="300"/>
      <c r="D1" s="2"/>
      <c r="E1" s="301" t="s">
        <v>92</v>
      </c>
      <c r="F1" s="302"/>
      <c r="G1" s="301" t="s">
        <v>0</v>
      </c>
      <c r="H1" s="302"/>
      <c r="I1" s="2"/>
      <c r="J1" s="2"/>
      <c r="Q1" s="303" t="s">
        <v>97</v>
      </c>
      <c r="R1" s="303"/>
      <c r="T1" s="2"/>
      <c r="U1" s="197"/>
      <c r="V1" s="197">
        <v>25000</v>
      </c>
      <c r="W1" s="2"/>
      <c r="X1" s="2"/>
      <c r="AF1" s="2"/>
      <c r="AG1" s="2"/>
    </row>
    <row r="2" spans="1:41" ht="23.25" customHeight="1">
      <c r="A2" s="1"/>
      <c r="B2" s="192" t="s">
        <v>82</v>
      </c>
      <c r="C2" s="164"/>
      <c r="D2" s="204">
        <v>1.3</v>
      </c>
      <c r="E2" s="72" t="s">
        <v>120</v>
      </c>
      <c r="F2" s="200">
        <v>400</v>
      </c>
      <c r="G2" s="72" t="str">
        <f>E2</f>
        <v>LCL</v>
      </c>
      <c r="H2" s="201">
        <f>100</f>
        <v>100</v>
      </c>
      <c r="I2" s="198">
        <f>F2+H2+T2</f>
        <v>650</v>
      </c>
      <c r="J2" s="2">
        <f>800+800+350</f>
        <v>1950</v>
      </c>
      <c r="P2" s="2"/>
      <c r="Q2" s="72" t="str">
        <f>G2</f>
        <v>LCL</v>
      </c>
      <c r="R2" s="5">
        <f>SUM(T2:T7)</f>
        <v>1410</v>
      </c>
      <c r="S2" s="43" t="s">
        <v>98</v>
      </c>
      <c r="T2" s="105">
        <v>150</v>
      </c>
      <c r="U2" s="43">
        <f>(5+15+5)*F5+20+30</f>
        <v>225</v>
      </c>
      <c r="V2" s="43">
        <f>U2*130%</f>
        <v>292.5</v>
      </c>
      <c r="AF2" s="2"/>
    </row>
    <row r="3" spans="1:41" ht="20.25" customHeight="1">
      <c r="A3" s="1"/>
      <c r="B3" s="1"/>
      <c r="C3" s="1"/>
      <c r="D3" s="2"/>
      <c r="E3" s="4" t="s">
        <v>2</v>
      </c>
      <c r="F3" s="73">
        <v>0</v>
      </c>
      <c r="G3" s="4" t="s">
        <v>2</v>
      </c>
      <c r="H3" s="5">
        <v>0</v>
      </c>
      <c r="I3" s="3"/>
      <c r="J3" s="2"/>
      <c r="P3" s="2"/>
      <c r="Q3" s="4" t="s">
        <v>2</v>
      </c>
      <c r="R3" s="5">
        <v>0</v>
      </c>
      <c r="S3" s="43" t="s">
        <v>86</v>
      </c>
      <c r="T3" s="105">
        <v>80</v>
      </c>
      <c r="AF3" s="2"/>
    </row>
    <row r="4" spans="1:41" ht="21" customHeight="1">
      <c r="A4" s="2"/>
      <c r="B4" s="195" t="s">
        <v>3</v>
      </c>
      <c r="C4" s="196">
        <f ca="1" xml:space="preserve"> NOW()</f>
        <v>46304.46345023148</v>
      </c>
      <c r="D4" s="2"/>
      <c r="E4" s="4" t="s">
        <v>4</v>
      </c>
      <c r="F4" s="5">
        <v>0</v>
      </c>
      <c r="G4" s="4" t="s">
        <v>4</v>
      </c>
      <c r="H4" s="5">
        <v>0</v>
      </c>
      <c r="I4" s="3"/>
      <c r="J4" s="2"/>
      <c r="P4" s="2"/>
      <c r="Q4" s="4" t="s">
        <v>4</v>
      </c>
      <c r="R4" s="5">
        <v>0</v>
      </c>
      <c r="S4" s="2" t="s">
        <v>93</v>
      </c>
      <c r="T4" s="105">
        <v>1000</v>
      </c>
      <c r="U4" s="43">
        <f>1500000+600000*E15</f>
        <v>22500000</v>
      </c>
      <c r="V4" s="43">
        <f>U4/$V$1</f>
        <v>900</v>
      </c>
      <c r="AF4" s="2"/>
      <c r="AG4" s="2"/>
    </row>
    <row r="5" spans="1:41" ht="21.75" customHeight="1">
      <c r="A5" s="2"/>
      <c r="C5" s="162"/>
      <c r="D5" s="2"/>
      <c r="E5" s="4" t="s">
        <v>6</v>
      </c>
      <c r="F5" s="6">
        <f>K15</f>
        <v>7</v>
      </c>
      <c r="G5" s="4" t="s">
        <v>6</v>
      </c>
      <c r="H5" s="6">
        <f>K15</f>
        <v>7</v>
      </c>
      <c r="I5" s="3"/>
      <c r="J5" s="2"/>
      <c r="P5" s="2"/>
      <c r="Q5" s="4" t="s">
        <v>6</v>
      </c>
      <c r="R5" s="6">
        <f>K15</f>
        <v>7</v>
      </c>
      <c r="S5" s="2" t="s">
        <v>65</v>
      </c>
      <c r="T5" s="105">
        <v>100</v>
      </c>
      <c r="AF5" s="2"/>
      <c r="AG5" s="2"/>
    </row>
    <row r="6" spans="1:41" ht="28">
      <c r="A6" s="2"/>
      <c r="B6" s="8" t="s">
        <v>9</v>
      </c>
      <c r="C6" s="159" t="s">
        <v>10</v>
      </c>
      <c r="D6" s="2"/>
      <c r="E6" s="4" t="s">
        <v>7</v>
      </c>
      <c r="F6" s="6">
        <f>IF(ROUND(F4*F5,2)&gt;F2,ROUND(F4*F5,2)+F3,F2+F3)</f>
        <v>400</v>
      </c>
      <c r="G6" s="4" t="s">
        <v>7</v>
      </c>
      <c r="H6" s="6">
        <f>IF(ROUND(H4*H5,2)&gt;H2,ROUND(H4*H5,2)+H3,H2+H3)</f>
        <v>100</v>
      </c>
      <c r="I6" s="3"/>
      <c r="J6" s="2"/>
      <c r="P6" s="2"/>
      <c r="Q6" s="4" t="s">
        <v>7</v>
      </c>
      <c r="R6" s="6">
        <f>IF(ROUND(R4*R5,2)&gt;R2,ROUND(R4*R5,2)+R3,R2+R3+(R4*R5))</f>
        <v>1410</v>
      </c>
      <c r="S6" s="2" t="s">
        <v>66</v>
      </c>
      <c r="T6" s="105">
        <v>50</v>
      </c>
      <c r="W6" s="2"/>
      <c r="X6" s="2"/>
      <c r="AF6" s="2"/>
      <c r="AG6" s="2"/>
    </row>
    <row r="7" spans="1:41" ht="21.75" customHeight="1">
      <c r="A7" s="2"/>
      <c r="B7" s="11" t="s">
        <v>14</v>
      </c>
      <c r="C7" s="13">
        <v>1</v>
      </c>
      <c r="D7" s="8"/>
      <c r="E7" s="4" t="s">
        <v>8</v>
      </c>
      <c r="F7" s="6">
        <f>IF(F5&gt;0,ROUND(F6/F5,2),0)</f>
        <v>57.14</v>
      </c>
      <c r="G7" s="4" t="s">
        <v>8</v>
      </c>
      <c r="H7" s="6">
        <f>IF(H5&gt;0,ROUND(H6/H5,2),0)</f>
        <v>14.29</v>
      </c>
      <c r="I7" s="3"/>
      <c r="J7" s="2"/>
      <c r="P7" s="2"/>
      <c r="Q7" s="4" t="s">
        <v>8</v>
      </c>
      <c r="R7" s="6">
        <f>IF(R5&gt;0,ROUND(R6/R5,2),0)</f>
        <v>201.43</v>
      </c>
      <c r="S7" s="2" t="s">
        <v>94</v>
      </c>
      <c r="T7" s="105">
        <v>30</v>
      </c>
      <c r="AF7" s="2"/>
      <c r="AG7" s="2"/>
    </row>
    <row r="8" spans="1:41" ht="27" customHeight="1">
      <c r="A8" s="8"/>
      <c r="E8" s="8"/>
      <c r="F8" s="8"/>
      <c r="G8" s="8"/>
      <c r="I8" s="9" t="s">
        <v>11</v>
      </c>
      <c r="J8" s="8"/>
      <c r="P8" s="2"/>
      <c r="T8" s="10" t="s">
        <v>12</v>
      </c>
      <c r="AF8" s="8"/>
      <c r="AG8" s="8"/>
    </row>
    <row r="9" spans="1:41" ht="27" customHeight="1">
      <c r="A9" s="11"/>
      <c r="B9" s="12" t="s">
        <v>13</v>
      </c>
      <c r="C9" s="193" t="s">
        <v>81</v>
      </c>
      <c r="D9" s="11"/>
      <c r="E9" s="11"/>
      <c r="F9" s="11"/>
      <c r="G9" s="11"/>
      <c r="I9" s="74">
        <v>7.4999999999999997E-3</v>
      </c>
      <c r="J9" s="11"/>
      <c r="P9" s="2"/>
      <c r="T9" s="14">
        <v>0.25</v>
      </c>
      <c r="AF9" s="11"/>
      <c r="AG9" s="11"/>
    </row>
    <row r="10" spans="1:41" ht="30.75" customHeight="1">
      <c r="A10" s="2"/>
      <c r="B10" s="15" t="s">
        <v>15</v>
      </c>
      <c r="C10" s="194" t="s">
        <v>102</v>
      </c>
      <c r="D10" s="2"/>
      <c r="E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41" ht="25.5" customHeight="1">
      <c r="A11" s="2"/>
      <c r="B11" s="15" t="s">
        <v>16</v>
      </c>
      <c r="C11" s="194" t="s">
        <v>101</v>
      </c>
      <c r="D11" s="2"/>
      <c r="E11" s="2"/>
      <c r="F11" s="3"/>
      <c r="G11" s="3"/>
      <c r="H11" s="2"/>
      <c r="I11" s="176">
        <f>$I$14*$AH$13*2</f>
        <v>40258800</v>
      </c>
      <c r="J11" s="177"/>
      <c r="K11" s="177"/>
      <c r="L11" s="177"/>
      <c r="M11" s="177"/>
      <c r="N11" s="177"/>
      <c r="O11" s="177"/>
      <c r="P11" s="176">
        <f>$I$14*$AH$13*2.5</f>
        <v>50323500</v>
      </c>
      <c r="Q11" s="176">
        <f>$I$14*$AH$13*3</f>
        <v>60388200</v>
      </c>
      <c r="T11" s="2"/>
      <c r="U11" s="2"/>
      <c r="V11" s="2"/>
      <c r="W11" s="2"/>
      <c r="X11" s="2"/>
      <c r="Y11" s="298" t="s">
        <v>17</v>
      </c>
      <c r="Z11" s="298"/>
      <c r="AA11" s="298"/>
      <c r="AB11" s="298" t="s">
        <v>18</v>
      </c>
      <c r="AC11" s="298"/>
      <c r="AD11" s="298"/>
      <c r="AE11" s="299"/>
      <c r="AF11" s="297" t="s">
        <v>45</v>
      </c>
      <c r="AG11" s="297"/>
    </row>
    <row r="12" spans="1:41" ht="48.75" customHeight="1">
      <c r="A12" s="16"/>
      <c r="B12" s="17" t="s">
        <v>19</v>
      </c>
      <c r="C12" s="17" t="s">
        <v>80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7" t="s">
        <v>28</v>
      </c>
      <c r="L12" s="17" t="s">
        <v>29</v>
      </c>
      <c r="M12" s="17" t="s">
        <v>27</v>
      </c>
      <c r="N12" s="17" t="s">
        <v>30</v>
      </c>
      <c r="O12" s="17" t="s">
        <v>31</v>
      </c>
      <c r="P12" s="17" t="s">
        <v>89</v>
      </c>
      <c r="Q12" s="17" t="s">
        <v>90</v>
      </c>
      <c r="R12" s="17" t="s">
        <v>91</v>
      </c>
      <c r="S12" s="17" t="s">
        <v>32</v>
      </c>
      <c r="T12" s="17" t="s">
        <v>33</v>
      </c>
      <c r="U12" s="17" t="s">
        <v>99</v>
      </c>
      <c r="V12" s="17" t="s">
        <v>100</v>
      </c>
      <c r="W12" s="17" t="s">
        <v>1</v>
      </c>
      <c r="X12" s="17" t="s">
        <v>34</v>
      </c>
      <c r="Y12" s="17" t="s">
        <v>35</v>
      </c>
      <c r="Z12" s="17" t="s">
        <v>36</v>
      </c>
      <c r="AA12" s="17" t="s">
        <v>37</v>
      </c>
      <c r="AB12" s="17" t="s">
        <v>37</v>
      </c>
      <c r="AC12" s="17" t="s">
        <v>35</v>
      </c>
      <c r="AD12" s="17" t="s">
        <v>38</v>
      </c>
      <c r="AE12" s="184" t="s">
        <v>39</v>
      </c>
      <c r="AF12" s="67">
        <v>0.05</v>
      </c>
      <c r="AG12" s="70" t="s">
        <v>46</v>
      </c>
      <c r="AH12" s="30"/>
    </row>
    <row r="13" spans="1:41" s="44" customFormat="1" ht="30.75" customHeight="1">
      <c r="A13" s="86"/>
      <c r="B13" s="18"/>
      <c r="C13" s="18"/>
      <c r="D13" s="20"/>
      <c r="E13" s="21"/>
      <c r="F13" s="19"/>
      <c r="G13" s="22"/>
      <c r="H13" s="19"/>
      <c r="I13" s="22"/>
      <c r="J13" s="22"/>
      <c r="K13" s="22"/>
      <c r="L13" s="22"/>
      <c r="M13" s="22"/>
      <c r="N13" s="23"/>
      <c r="O13" s="23"/>
      <c r="P13" s="23"/>
      <c r="Q13" s="20"/>
      <c r="R13" s="23"/>
      <c r="S13" s="20"/>
      <c r="T13" s="23"/>
      <c r="U13" s="20"/>
      <c r="V13" s="23"/>
      <c r="W13" s="23"/>
      <c r="X13" s="23"/>
      <c r="Y13" s="23"/>
      <c r="Z13" s="23"/>
      <c r="AA13" s="23"/>
      <c r="AB13" s="182"/>
      <c r="AC13" s="23"/>
      <c r="AD13" s="23"/>
      <c r="AE13" s="185"/>
      <c r="AF13" s="187"/>
      <c r="AG13" s="188"/>
      <c r="AH13" s="224">
        <v>26500</v>
      </c>
      <c r="AI13" s="258" t="s">
        <v>147</v>
      </c>
      <c r="AJ13" s="258" t="s">
        <v>148</v>
      </c>
      <c r="AK13" s="258" t="s">
        <v>149</v>
      </c>
      <c r="AL13" s="258" t="s">
        <v>150</v>
      </c>
      <c r="AM13" s="258" t="s">
        <v>146</v>
      </c>
      <c r="AN13" s="261" t="s">
        <v>151</v>
      </c>
      <c r="AO13" s="261"/>
    </row>
    <row r="14" spans="1:41" s="69" customFormat="1" ht="219.75" customHeight="1">
      <c r="A14" s="24">
        <v>1</v>
      </c>
      <c r="B14" s="103" t="s">
        <v>133</v>
      </c>
      <c r="C14" s="158"/>
      <c r="D14" s="26">
        <v>0.2</v>
      </c>
      <c r="E14" s="68">
        <v>35</v>
      </c>
      <c r="F14" s="104">
        <v>1899</v>
      </c>
      <c r="G14" s="25">
        <f>F14*$C$7</f>
        <v>1899</v>
      </c>
      <c r="H14" s="75">
        <v>0.6</v>
      </c>
      <c r="I14" s="25">
        <f>ROUND(G14*(1-H14),2)</f>
        <v>759.6</v>
      </c>
      <c r="J14" s="25">
        <f>ROUND(E14*I14,2)</f>
        <v>26586</v>
      </c>
      <c r="K14" s="25">
        <f>ROUND(E14*D14,2)</f>
        <v>7</v>
      </c>
      <c r="L14" s="25">
        <f>ROUND(K14*F$7,2)</f>
        <v>399.98</v>
      </c>
      <c r="M14" s="25">
        <f>SUM(J14,L14)</f>
        <v>26985.98</v>
      </c>
      <c r="N14" s="25">
        <f>ROUND(K14*H$7,2)</f>
        <v>100.03</v>
      </c>
      <c r="O14" s="25">
        <f>ROUND((M14+N14)*$I$9,2)</f>
        <v>203.15</v>
      </c>
      <c r="P14" s="25">
        <f>SUM(M14:O14)</f>
        <v>27289.16</v>
      </c>
      <c r="Q14" s="179">
        <v>0</v>
      </c>
      <c r="R14" s="25">
        <f>ROUND(P14/(1-Q14),2)</f>
        <v>27289.16</v>
      </c>
      <c r="S14" s="157">
        <v>0</v>
      </c>
      <c r="T14" s="25">
        <f>ROUND(R14*S14,2)</f>
        <v>0</v>
      </c>
      <c r="U14" s="157">
        <v>0</v>
      </c>
      <c r="V14" s="25">
        <f>ROUND((T14+R14)*U14,2)</f>
        <v>0</v>
      </c>
      <c r="W14" s="25">
        <f>ROUND(K14*R$7,2)</f>
        <v>1410.01</v>
      </c>
      <c r="X14" s="25">
        <f>SUM(R14,T14,V14,W14)</f>
        <v>28699.17</v>
      </c>
      <c r="Y14" s="25">
        <f>ROUND(X14/(1-T$9),2)</f>
        <v>38265.56</v>
      </c>
      <c r="Z14" s="25">
        <f>Y14-X14</f>
        <v>9566.39</v>
      </c>
      <c r="AA14" s="25">
        <f>IF(E14&gt;0,ROUND(Y14/E14,2),"NA")</f>
        <v>1093.3</v>
      </c>
      <c r="AB14" s="85">
        <f>AA14</f>
        <v>1093.3</v>
      </c>
      <c r="AC14" s="41">
        <f>ROUND(E14*AB14,2)</f>
        <v>38265.5</v>
      </c>
      <c r="AD14" s="76">
        <f>AC14-X14</f>
        <v>9566.3300000000017</v>
      </c>
      <c r="AE14" s="186">
        <f>IF(AC14&gt;0,AD14/AC14,"NA")</f>
        <v>0.24999882400595841</v>
      </c>
      <c r="AF14" s="77">
        <f>AC14*5%*70%</f>
        <v>1339.2925</v>
      </c>
      <c r="AG14" s="78">
        <f>AD14-AF14</f>
        <v>8227.0375000000022</v>
      </c>
      <c r="AH14" s="257">
        <f>ROUND(AB14*$AH$13,-3)</f>
        <v>28972000</v>
      </c>
      <c r="AI14" s="259">
        <f>'HAD''s'!M13*2</f>
        <v>3282000</v>
      </c>
      <c r="AJ14" s="259">
        <f>'HAD''s'!M14*2</f>
        <v>1642000</v>
      </c>
      <c r="AK14" s="259">
        <f>'Cable Snake'!AH14*2</f>
        <v>508000</v>
      </c>
      <c r="AL14" s="259">
        <f>'HAD''s'!M17</f>
        <v>1010000</v>
      </c>
      <c r="AM14" s="259" t="e">
        <f>#REF!</f>
        <v>#REF!</v>
      </c>
      <c r="AN14" s="260" t="e">
        <f>SUM(AH14:AM14)</f>
        <v>#REF!</v>
      </c>
      <c r="AO14" s="262" t="e">
        <f>AN14/2</f>
        <v>#REF!</v>
      </c>
    </row>
    <row r="15" spans="1:41" s="45" customFormat="1" ht="21" customHeight="1" thickBot="1">
      <c r="A15" s="27"/>
      <c r="B15" s="87" t="s">
        <v>53</v>
      </c>
      <c r="C15" s="87"/>
      <c r="D15" s="29"/>
      <c r="E15" s="28">
        <f>SUM(E14:E14)</f>
        <v>35</v>
      </c>
      <c r="F15" s="28"/>
      <c r="G15" s="28"/>
      <c r="H15" s="28"/>
      <c r="I15" s="28"/>
      <c r="J15" s="28">
        <f t="shared" ref="J15:P15" si="0">SUM(J14:J14)</f>
        <v>26586</v>
      </c>
      <c r="K15" s="28">
        <f t="shared" si="0"/>
        <v>7</v>
      </c>
      <c r="L15" s="28">
        <f t="shared" si="0"/>
        <v>399.98</v>
      </c>
      <c r="M15" s="61">
        <f t="shared" si="0"/>
        <v>26985.98</v>
      </c>
      <c r="N15" s="28">
        <f t="shared" si="0"/>
        <v>100.03</v>
      </c>
      <c r="O15" s="28">
        <f t="shared" si="0"/>
        <v>203.15</v>
      </c>
      <c r="P15" s="61">
        <f t="shared" si="0"/>
        <v>27289.16</v>
      </c>
      <c r="Q15" s="28"/>
      <c r="R15" s="61">
        <f>SUM(R14:R14)</f>
        <v>27289.16</v>
      </c>
      <c r="S15" s="28"/>
      <c r="T15" s="61">
        <f>SUM(T14:T14)</f>
        <v>0</v>
      </c>
      <c r="U15" s="28"/>
      <c r="V15" s="28">
        <f>SUM(V14:V14)</f>
        <v>0</v>
      </c>
      <c r="W15" s="61">
        <f>SUM(W14:W14)</f>
        <v>1410.01</v>
      </c>
      <c r="X15" s="61">
        <f>SUM(X14:X14)</f>
        <v>28699.17</v>
      </c>
      <c r="Y15" s="28">
        <f>SUM(Y14:Y14)</f>
        <v>38265.56</v>
      </c>
      <c r="Z15" s="28">
        <f>SUM(Z14:Z14)</f>
        <v>9566.39</v>
      </c>
      <c r="AA15" s="28"/>
      <c r="AB15" s="28"/>
      <c r="AC15" s="28">
        <f>SUM(AC14:AC14)</f>
        <v>38265.5</v>
      </c>
      <c r="AD15" s="28">
        <f>SUM(AD14:AD14)</f>
        <v>9566.3300000000017</v>
      </c>
      <c r="AE15" s="183">
        <f>SUM(AE14:AE14)</f>
        <v>0.24999882400595841</v>
      </c>
      <c r="AF15" s="17">
        <f>SUM(AF14:AF14)</f>
        <v>1339.2925</v>
      </c>
      <c r="AG15" s="189">
        <f>SUM(AG14:AG14)</f>
        <v>8227.0375000000022</v>
      </c>
      <c r="AI15" s="71"/>
    </row>
    <row r="16" spans="1:41" ht="19.5" customHeight="1" thickBot="1">
      <c r="A16" s="30"/>
      <c r="B16" s="30" t="s">
        <v>40</v>
      </c>
      <c r="C16" s="30"/>
      <c r="D16" s="30"/>
      <c r="E16" s="31"/>
      <c r="F16" s="32"/>
      <c r="G16" s="32"/>
      <c r="H16" s="32"/>
      <c r="I16" s="32"/>
      <c r="J16" s="32"/>
      <c r="K16" s="32"/>
      <c r="L16" s="32"/>
      <c r="M16" s="62">
        <f>SUM(J15,L15)</f>
        <v>26985.98</v>
      </c>
      <c r="N16" s="62"/>
      <c r="O16" s="62"/>
      <c r="P16" s="62">
        <f>SUM(M15,N15,O15)</f>
        <v>27289.16</v>
      </c>
      <c r="Q16" s="62"/>
      <c r="R16" s="62">
        <f>SUM(M15,N15,O15)</f>
        <v>27289.16</v>
      </c>
      <c r="S16" s="62"/>
      <c r="T16" s="62"/>
      <c r="U16" s="62"/>
      <c r="V16" s="62"/>
      <c r="W16" s="62"/>
      <c r="X16" s="62">
        <f>SUM(R15,T15,W15,V15)</f>
        <v>28699.17</v>
      </c>
      <c r="Y16" s="62"/>
      <c r="Z16" s="62">
        <f>Y15-X15</f>
        <v>9566.39</v>
      </c>
      <c r="AA16" s="62"/>
      <c r="AB16" s="63"/>
      <c r="AC16" s="64"/>
      <c r="AD16" s="64">
        <f>AC15-X15</f>
        <v>9566.3300000000017</v>
      </c>
      <c r="AE16" s="46"/>
      <c r="AF16" s="178"/>
      <c r="AG16" s="79">
        <f>AG15/AC15</f>
        <v>0.21499882400595843</v>
      </c>
    </row>
    <row r="17" spans="1:33">
      <c r="A17" s="1"/>
      <c r="B17" s="7"/>
      <c r="C17" s="1"/>
      <c r="D17" s="1"/>
      <c r="E17" s="33"/>
      <c r="F17" s="34"/>
      <c r="G17" s="34"/>
      <c r="H17" s="34"/>
      <c r="I17" s="34"/>
      <c r="J17" s="165"/>
      <c r="K17" s="33"/>
      <c r="L17" s="33"/>
      <c r="M17" s="33"/>
      <c r="N17" s="165"/>
      <c r="O17" s="35"/>
      <c r="P17" s="35"/>
      <c r="Q17" s="35"/>
      <c r="R17" s="35"/>
      <c r="S17" s="35"/>
      <c r="T17" s="35"/>
      <c r="U17" s="35"/>
      <c r="V17" s="35"/>
      <c r="W17" s="35"/>
      <c r="X17" s="35">
        <f>X16/E15</f>
        <v>819.97628571428561</v>
      </c>
      <c r="Y17" s="33"/>
      <c r="Z17" s="80">
        <f>IF(Y15&gt;0,Z16/Y15,"NA")</f>
        <v>0.25</v>
      </c>
      <c r="AA17" s="33"/>
      <c r="AB17" s="45"/>
    </row>
    <row r="18" spans="1:33" s="45" customFormat="1">
      <c r="A18" s="7"/>
      <c r="B18" s="7"/>
      <c r="C18" s="7"/>
      <c r="D18" s="7"/>
      <c r="E18" s="7"/>
      <c r="F18" s="36"/>
      <c r="G18" s="36"/>
      <c r="H18" s="172"/>
      <c r="I18" s="166"/>
      <c r="J18" s="166"/>
      <c r="K18" s="166"/>
      <c r="L18" s="166"/>
      <c r="M18" s="166"/>
      <c r="N18" s="166"/>
      <c r="O18" s="166"/>
      <c r="P18" s="167">
        <f>AH13</f>
        <v>26500</v>
      </c>
      <c r="R18" s="81"/>
      <c r="S18" s="7"/>
      <c r="T18" s="81">
        <f>AD16/AC15</f>
        <v>0.24999882400595841</v>
      </c>
      <c r="U18" s="7"/>
      <c r="V18" s="7"/>
      <c r="W18" s="81"/>
    </row>
    <row r="19" spans="1:33" s="45" customFormat="1" ht="18.75" customHeight="1">
      <c r="A19" s="7"/>
      <c r="B19" s="7"/>
      <c r="C19" s="7"/>
      <c r="D19" s="7"/>
      <c r="E19" s="7"/>
      <c r="F19" s="36"/>
      <c r="G19" s="36"/>
      <c r="H19" s="173" t="s">
        <v>83</v>
      </c>
      <c r="I19" s="168">
        <f>T15</f>
        <v>0</v>
      </c>
      <c r="J19" s="15"/>
      <c r="K19" s="15"/>
      <c r="L19" s="15"/>
      <c r="M19" s="15"/>
      <c r="N19" s="15"/>
      <c r="O19" s="15"/>
      <c r="P19" s="169">
        <f>I19*$P$18</f>
        <v>0</v>
      </c>
      <c r="R19" s="45" t="s">
        <v>49</v>
      </c>
      <c r="S19" s="37"/>
      <c r="T19" s="47">
        <f>SUM(R15,T15,W15,AF15)</f>
        <v>30038.462499999998</v>
      </c>
      <c r="U19" s="38"/>
    </row>
    <row r="20" spans="1:33" s="45" customFormat="1" ht="15" customHeight="1">
      <c r="A20" s="7"/>
      <c r="B20" s="7"/>
      <c r="C20" s="7"/>
      <c r="D20" s="7"/>
      <c r="E20" s="7"/>
      <c r="F20" s="39"/>
      <c r="G20" s="39"/>
      <c r="H20" s="173" t="s">
        <v>84</v>
      </c>
      <c r="I20" s="168">
        <f>V15</f>
        <v>0</v>
      </c>
      <c r="J20" s="15"/>
      <c r="K20" s="15"/>
      <c r="L20" s="15"/>
      <c r="M20" s="15"/>
      <c r="N20" s="15"/>
      <c r="O20" s="15"/>
      <c r="P20" s="169">
        <f>I20*$P$18</f>
        <v>0</v>
      </c>
      <c r="R20" s="45" t="s">
        <v>50</v>
      </c>
      <c r="S20" s="40"/>
      <c r="T20" s="47">
        <f>AC15-T19</f>
        <v>8227.0375000000022</v>
      </c>
      <c r="U20" s="33"/>
    </row>
    <row r="21" spans="1:33" s="45" customFormat="1" ht="18.75" customHeight="1">
      <c r="A21" s="43"/>
      <c r="B21" s="43"/>
      <c r="F21" s="48"/>
      <c r="G21" s="48"/>
      <c r="H21" s="174" t="s">
        <v>85</v>
      </c>
      <c r="I21" s="72">
        <f>(R15+I19+I20)*10%</f>
        <v>2728.9160000000002</v>
      </c>
      <c r="J21" s="170"/>
      <c r="K21" s="15"/>
      <c r="L21" s="15"/>
      <c r="M21" s="15"/>
      <c r="N21" s="15"/>
      <c r="O21" s="15"/>
      <c r="P21" s="169">
        <f>I21*$P$18</f>
        <v>72316274</v>
      </c>
      <c r="R21" s="45" t="s">
        <v>51</v>
      </c>
      <c r="S21" s="50"/>
      <c r="T21" s="163">
        <f>T20/AC15</f>
        <v>0.21499882400595843</v>
      </c>
      <c r="U21" s="51"/>
    </row>
    <row r="22" spans="1:33" s="45" customFormat="1">
      <c r="B22" s="7"/>
      <c r="F22" s="48"/>
      <c r="G22" s="48"/>
      <c r="H22" s="175"/>
      <c r="I22" s="166"/>
      <c r="J22" s="171"/>
      <c r="K22" s="166"/>
      <c r="L22" s="166"/>
      <c r="M22" s="166"/>
      <c r="N22" s="166"/>
      <c r="O22" s="166"/>
      <c r="P22" s="199">
        <f>SUM(P19:P21)</f>
        <v>72316274</v>
      </c>
      <c r="S22" s="50"/>
      <c r="T22" s="47"/>
      <c r="U22" s="52"/>
      <c r="AG22" s="66"/>
    </row>
    <row r="23" spans="1:33" s="45" customFormat="1">
      <c r="B23" s="43"/>
      <c r="C23" s="43"/>
      <c r="D23" s="53"/>
      <c r="E23" s="53"/>
      <c r="F23" s="48"/>
      <c r="G23" s="48"/>
      <c r="H23" s="48"/>
      <c r="I23" s="48"/>
      <c r="J23" s="49"/>
      <c r="R23" s="45" t="s">
        <v>52</v>
      </c>
      <c r="T23" s="54">
        <f>ROUND(T20*U23,2)</f>
        <v>1645.41</v>
      </c>
      <c r="U23" s="84">
        <v>0.2</v>
      </c>
    </row>
    <row r="24" spans="1:33" s="45" customFormat="1">
      <c r="A24" s="43"/>
      <c r="C24" s="43"/>
      <c r="D24" s="53"/>
      <c r="E24" s="53"/>
      <c r="F24" s="48"/>
      <c r="G24" s="48"/>
      <c r="H24" s="296" t="s">
        <v>47</v>
      </c>
      <c r="I24" s="296"/>
      <c r="J24" s="171"/>
      <c r="K24" s="166"/>
      <c r="L24" s="166"/>
      <c r="M24" s="166"/>
      <c r="N24" s="166"/>
      <c r="O24" s="166"/>
      <c r="P24" s="82">
        <v>0</v>
      </c>
      <c r="R24" s="45" t="s">
        <v>41</v>
      </c>
      <c r="T24" s="47">
        <f>T20+T22-T23</f>
        <v>6581.6275000000023</v>
      </c>
      <c r="V24" s="55"/>
    </row>
    <row r="25" spans="1:33" s="45" customFormat="1">
      <c r="A25" s="43"/>
      <c r="B25" s="7"/>
      <c r="C25" s="43"/>
      <c r="D25" s="53"/>
      <c r="E25" s="53"/>
      <c r="F25" s="48"/>
      <c r="G25" s="48"/>
      <c r="H25" s="296" t="s">
        <v>43</v>
      </c>
      <c r="I25" s="296"/>
      <c r="J25" s="171"/>
      <c r="K25" s="166"/>
      <c r="L25" s="166"/>
      <c r="M25" s="166"/>
      <c r="N25" s="180"/>
      <c r="O25" s="181"/>
      <c r="P25" s="42">
        <f>AG15-P24</f>
        <v>8227.0375000000022</v>
      </c>
      <c r="Q25" s="43"/>
      <c r="R25" s="45" t="s">
        <v>42</v>
      </c>
      <c r="T25" s="163">
        <f>T24/AC15</f>
        <v>0.17199899387176446</v>
      </c>
      <c r="V25" s="43"/>
    </row>
    <row r="26" spans="1:33" s="45" customFormat="1">
      <c r="A26" s="43"/>
      <c r="B26" s="43"/>
      <c r="C26" s="43"/>
      <c r="D26" s="53"/>
      <c r="E26" s="53"/>
      <c r="F26" s="48"/>
      <c r="G26" s="48"/>
      <c r="H26" s="296" t="s">
        <v>44</v>
      </c>
      <c r="I26" s="296"/>
      <c r="J26" s="171"/>
      <c r="K26" s="166"/>
      <c r="L26" s="166"/>
      <c r="M26" s="166"/>
      <c r="N26" s="171"/>
      <c r="O26" s="166"/>
      <c r="P26" s="83">
        <f>P25/AC15</f>
        <v>0.21499882400595843</v>
      </c>
      <c r="AG26" s="66"/>
    </row>
    <row r="27" spans="1:33" s="45" customFormat="1">
      <c r="C27" s="43"/>
      <c r="D27" s="53"/>
      <c r="E27" s="53"/>
      <c r="F27" s="48"/>
      <c r="G27" s="48"/>
      <c r="H27" s="48"/>
      <c r="I27" s="48"/>
      <c r="J27" s="49"/>
      <c r="N27" s="49"/>
      <c r="AG27" s="66"/>
    </row>
    <row r="28" spans="1:33" s="45" customFormat="1">
      <c r="A28" s="43"/>
      <c r="C28" s="43"/>
      <c r="D28" s="53"/>
      <c r="E28" s="53"/>
      <c r="F28" s="48"/>
      <c r="G28" s="48"/>
      <c r="H28" s="48"/>
      <c r="I28" s="48"/>
      <c r="J28" s="49"/>
      <c r="N28" s="49"/>
    </row>
    <row r="29" spans="1:33" s="45" customFormat="1">
      <c r="A29" s="56"/>
      <c r="B29" s="43"/>
      <c r="C29" s="56"/>
      <c r="D29" s="43"/>
      <c r="E29" s="43"/>
      <c r="F29" s="48"/>
      <c r="G29" s="48"/>
      <c r="H29" s="48"/>
      <c r="I29" s="48"/>
      <c r="J29" s="49"/>
      <c r="N29" s="49"/>
    </row>
    <row r="30" spans="1:33" s="45" customFormat="1">
      <c r="B30" s="43"/>
      <c r="C30" s="43"/>
      <c r="D30" s="53"/>
      <c r="E30" s="53"/>
      <c r="F30" s="48"/>
      <c r="G30" s="48"/>
      <c r="H30" s="48"/>
      <c r="I30" s="48"/>
      <c r="J30" s="49"/>
      <c r="N30" s="49"/>
    </row>
    <row r="31" spans="1:33" s="45" customFormat="1">
      <c r="B31" s="43"/>
      <c r="C31" s="43"/>
      <c r="D31" s="57"/>
      <c r="E31" s="57"/>
      <c r="F31" s="48"/>
      <c r="G31" s="48"/>
      <c r="H31" s="48"/>
      <c r="I31" s="48"/>
      <c r="J31" s="49"/>
      <c r="N31" s="49"/>
    </row>
    <row r="32" spans="1:33" s="45" customFormat="1">
      <c r="A32" s="43"/>
      <c r="C32" s="43"/>
      <c r="D32" s="43"/>
      <c r="E32" s="43"/>
      <c r="F32" s="48"/>
      <c r="G32" s="48"/>
      <c r="H32" s="48"/>
      <c r="I32" s="48"/>
      <c r="J32" s="49"/>
      <c r="N32" s="49"/>
    </row>
    <row r="33" spans="1:33" s="45" customFormat="1">
      <c r="A33" s="43"/>
      <c r="B33" s="43"/>
      <c r="F33" s="58"/>
      <c r="G33" s="58"/>
      <c r="H33" s="58"/>
      <c r="I33" s="58"/>
      <c r="N33" s="49"/>
    </row>
    <row r="34" spans="1:33" s="45" customFormat="1">
      <c r="B34" s="56"/>
      <c r="F34" s="58"/>
      <c r="G34" s="58"/>
      <c r="H34" s="58"/>
      <c r="I34" s="58"/>
      <c r="N34" s="49"/>
    </row>
    <row r="35" spans="1:33" s="45" customFormat="1">
      <c r="F35" s="58"/>
      <c r="G35" s="58"/>
      <c r="H35" s="58"/>
      <c r="I35" s="58"/>
      <c r="N35" s="49"/>
      <c r="AG35" s="66"/>
    </row>
    <row r="36" spans="1:33" s="45" customFormat="1">
      <c r="F36" s="58"/>
      <c r="G36" s="58"/>
      <c r="H36" s="58"/>
      <c r="I36" s="58"/>
      <c r="N36" s="49"/>
      <c r="AG36" s="66"/>
    </row>
    <row r="37" spans="1:33" s="45" customFormat="1">
      <c r="B37" s="43"/>
      <c r="F37" s="58"/>
      <c r="G37" s="58"/>
      <c r="H37" s="58"/>
      <c r="I37" s="58"/>
      <c r="N37" s="49"/>
      <c r="AG37" s="66"/>
    </row>
    <row r="38" spans="1:33" s="45" customFormat="1">
      <c r="B38" s="43"/>
      <c r="F38" s="58"/>
      <c r="G38" s="58"/>
      <c r="H38" s="58"/>
      <c r="I38" s="58"/>
      <c r="N38" s="49"/>
      <c r="AG38" s="66"/>
    </row>
    <row r="39" spans="1:33" s="45" customFormat="1">
      <c r="F39" s="58"/>
      <c r="G39" s="58"/>
      <c r="H39" s="58"/>
      <c r="I39" s="58"/>
      <c r="N39" s="49"/>
      <c r="AG39" s="66"/>
    </row>
    <row r="40" spans="1:33" s="45" customFormat="1">
      <c r="F40" s="58"/>
      <c r="G40" s="58"/>
      <c r="H40" s="58"/>
      <c r="I40" s="58"/>
      <c r="N40" s="49"/>
      <c r="AG40" s="66"/>
    </row>
    <row r="41" spans="1:33" s="45" customFormat="1">
      <c r="F41" s="58"/>
      <c r="G41" s="58"/>
      <c r="H41" s="58"/>
      <c r="I41" s="58"/>
      <c r="N41" s="49"/>
      <c r="AG41" s="66"/>
    </row>
    <row r="42" spans="1:33" s="45" customFormat="1">
      <c r="F42" s="58"/>
      <c r="G42" s="58"/>
      <c r="H42" s="58"/>
      <c r="I42" s="58"/>
      <c r="N42" s="49"/>
      <c r="AG42" s="66"/>
    </row>
    <row r="43" spans="1:33" s="45" customFormat="1">
      <c r="F43" s="58"/>
      <c r="G43" s="58"/>
      <c r="H43" s="58"/>
      <c r="I43" s="58"/>
      <c r="N43" s="49"/>
      <c r="AG43" s="66"/>
    </row>
    <row r="44" spans="1:33" s="45" customFormat="1">
      <c r="F44" s="58"/>
      <c r="G44" s="58"/>
      <c r="H44" s="58"/>
      <c r="I44" s="58"/>
      <c r="N44" s="49"/>
      <c r="AG44" s="66"/>
    </row>
    <row r="45" spans="1:33" s="45" customFormat="1">
      <c r="F45" s="58"/>
      <c r="G45" s="58"/>
      <c r="H45" s="58"/>
      <c r="I45" s="58"/>
      <c r="N45" s="49"/>
      <c r="AG45" s="66"/>
    </row>
    <row r="46" spans="1:33" s="45" customFormat="1">
      <c r="F46" s="58"/>
      <c r="G46" s="58"/>
      <c r="H46" s="58"/>
      <c r="I46" s="58"/>
      <c r="N46" s="49"/>
      <c r="AG46" s="66"/>
    </row>
    <row r="47" spans="1:33" s="45" customFormat="1">
      <c r="F47" s="58"/>
      <c r="G47" s="58"/>
      <c r="H47" s="58"/>
      <c r="I47" s="58"/>
      <c r="N47" s="49"/>
      <c r="AG47" s="66"/>
    </row>
    <row r="48" spans="1:33" s="45" customFormat="1">
      <c r="F48" s="58"/>
      <c r="G48" s="58"/>
      <c r="H48" s="58"/>
      <c r="I48" s="58"/>
      <c r="N48" s="49"/>
      <c r="AG48" s="66"/>
    </row>
    <row r="49" spans="6:33" s="45" customFormat="1">
      <c r="F49" s="58"/>
      <c r="G49" s="58"/>
      <c r="H49" s="58"/>
      <c r="I49" s="58"/>
      <c r="N49" s="49"/>
      <c r="AG49" s="66"/>
    </row>
    <row r="50" spans="6:33" s="45" customFormat="1">
      <c r="F50" s="58"/>
      <c r="G50" s="58"/>
      <c r="H50" s="58"/>
      <c r="I50" s="58"/>
      <c r="N50" s="49"/>
      <c r="AG50" s="66"/>
    </row>
    <row r="51" spans="6:33" s="45" customFormat="1">
      <c r="F51" s="58"/>
      <c r="G51" s="58"/>
      <c r="H51" s="58"/>
      <c r="I51" s="58"/>
      <c r="N51" s="49"/>
      <c r="AG51" s="66"/>
    </row>
    <row r="52" spans="6:33" s="45" customFormat="1">
      <c r="F52" s="58"/>
      <c r="G52" s="58"/>
      <c r="H52" s="58"/>
      <c r="I52" s="58"/>
      <c r="N52" s="49"/>
      <c r="AG52" s="66"/>
    </row>
    <row r="53" spans="6:33" s="45" customFormat="1">
      <c r="F53" s="58"/>
      <c r="G53" s="58"/>
      <c r="H53" s="58"/>
      <c r="I53" s="58"/>
      <c r="N53" s="49"/>
      <c r="AG53" s="66"/>
    </row>
    <row r="54" spans="6:33" s="45" customFormat="1">
      <c r="F54" s="58"/>
      <c r="G54" s="58"/>
      <c r="H54" s="58"/>
      <c r="I54" s="58"/>
      <c r="N54" s="49"/>
      <c r="AG54" s="66"/>
    </row>
    <row r="55" spans="6:33" s="45" customFormat="1">
      <c r="F55" s="58"/>
      <c r="G55" s="58"/>
      <c r="H55" s="58"/>
      <c r="I55" s="58"/>
      <c r="N55" s="49"/>
      <c r="AG55" s="66"/>
    </row>
    <row r="56" spans="6:33">
      <c r="N56" s="60"/>
    </row>
    <row r="57" spans="6:33">
      <c r="N57" s="60"/>
    </row>
    <row r="58" spans="6:33">
      <c r="N58" s="60"/>
    </row>
    <row r="59" spans="6:33">
      <c r="N59" s="60"/>
    </row>
    <row r="60" spans="6:33">
      <c r="N60" s="60"/>
    </row>
    <row r="61" spans="6:33">
      <c r="N61" s="60"/>
    </row>
    <row r="62" spans="6:33">
      <c r="N62" s="60"/>
    </row>
    <row r="63" spans="6:33">
      <c r="N63" s="60"/>
    </row>
    <row r="64" spans="6:33">
      <c r="N64" s="60"/>
    </row>
    <row r="65" spans="14:14">
      <c r="N65" s="60"/>
    </row>
    <row r="66" spans="14:14">
      <c r="N66" s="60"/>
    </row>
    <row r="67" spans="14:14">
      <c r="N67" s="60"/>
    </row>
    <row r="68" spans="14:14">
      <c r="N68" s="60"/>
    </row>
    <row r="69" spans="14:14">
      <c r="N69" s="60"/>
    </row>
    <row r="70" spans="14:14">
      <c r="N70" s="60"/>
    </row>
    <row r="71" spans="14:14">
      <c r="N71" s="60"/>
    </row>
    <row r="72" spans="14:14">
      <c r="N72" s="60"/>
    </row>
    <row r="73" spans="14:14">
      <c r="N73" s="60"/>
    </row>
    <row r="74" spans="14:14">
      <c r="N74" s="60"/>
    </row>
    <row r="75" spans="14:14">
      <c r="N75" s="60"/>
    </row>
    <row r="76" spans="14:14">
      <c r="N76" s="60"/>
    </row>
    <row r="77" spans="14:14">
      <c r="N77" s="60"/>
    </row>
    <row r="78" spans="14:14">
      <c r="N78" s="60"/>
    </row>
    <row r="79" spans="14:14">
      <c r="N79" s="60"/>
    </row>
    <row r="80" spans="14:14">
      <c r="N80" s="60"/>
    </row>
    <row r="81" spans="14:14">
      <c r="N81" s="60"/>
    </row>
    <row r="82" spans="14:14">
      <c r="N82" s="60"/>
    </row>
    <row r="83" spans="14:14">
      <c r="N83" s="60"/>
    </row>
    <row r="84" spans="14:14">
      <c r="N84" s="60"/>
    </row>
    <row r="85" spans="14:14">
      <c r="N85" s="60"/>
    </row>
    <row r="86" spans="14:14">
      <c r="N86" s="60"/>
    </row>
    <row r="87" spans="14:14">
      <c r="N87" s="60"/>
    </row>
    <row r="88" spans="14:14">
      <c r="N88" s="60"/>
    </row>
    <row r="89" spans="14:14">
      <c r="N89" s="60"/>
    </row>
    <row r="90" spans="14:14">
      <c r="N90" s="60"/>
    </row>
    <row r="91" spans="14:14">
      <c r="N91" s="60"/>
    </row>
    <row r="92" spans="14:14">
      <c r="N92" s="60"/>
    </row>
    <row r="93" spans="14:14">
      <c r="N93" s="60"/>
    </row>
    <row r="94" spans="14:14">
      <c r="N94" s="60"/>
    </row>
    <row r="95" spans="14:14">
      <c r="N95" s="60"/>
    </row>
    <row r="96" spans="14:14">
      <c r="N96" s="60"/>
    </row>
    <row r="97" spans="14:14">
      <c r="N97" s="60"/>
    </row>
    <row r="98" spans="14:14">
      <c r="N98" s="60"/>
    </row>
    <row r="99" spans="14:14">
      <c r="N99" s="60"/>
    </row>
    <row r="100" spans="14:14">
      <c r="N100" s="60"/>
    </row>
    <row r="101" spans="14:14">
      <c r="N101" s="60"/>
    </row>
    <row r="102" spans="14:14">
      <c r="N102" s="60"/>
    </row>
    <row r="103" spans="14:14">
      <c r="N103" s="60"/>
    </row>
    <row r="104" spans="14:14">
      <c r="N104" s="60"/>
    </row>
    <row r="105" spans="14:14">
      <c r="N105" s="60"/>
    </row>
    <row r="106" spans="14:14">
      <c r="N106" s="60"/>
    </row>
    <row r="107" spans="14:14">
      <c r="N107" s="60"/>
    </row>
    <row r="108" spans="14:14">
      <c r="N108" s="60"/>
    </row>
    <row r="109" spans="14:14">
      <c r="N109" s="60"/>
    </row>
    <row r="110" spans="14:14">
      <c r="N110" s="60"/>
    </row>
    <row r="111" spans="14:14">
      <c r="N111" s="60"/>
    </row>
    <row r="112" spans="14:14">
      <c r="N112" s="60"/>
    </row>
    <row r="113" spans="14:14">
      <c r="N113" s="60"/>
    </row>
    <row r="114" spans="14:14">
      <c r="N114" s="60"/>
    </row>
    <row r="115" spans="14:14">
      <c r="N115" s="60"/>
    </row>
    <row r="116" spans="14:14">
      <c r="N116" s="60"/>
    </row>
    <row r="117" spans="14:14">
      <c r="N117" s="60"/>
    </row>
    <row r="118" spans="14:14">
      <c r="N118" s="60"/>
    </row>
    <row r="119" spans="14:14">
      <c r="N119" s="60"/>
    </row>
    <row r="120" spans="14:14">
      <c r="N120" s="60"/>
    </row>
    <row r="121" spans="14:14">
      <c r="N121" s="60"/>
    </row>
    <row r="122" spans="14:14">
      <c r="N122" s="60"/>
    </row>
    <row r="123" spans="14:14">
      <c r="N123" s="60"/>
    </row>
    <row r="124" spans="14:14">
      <c r="N124" s="60"/>
    </row>
    <row r="125" spans="14:14">
      <c r="N125" s="60"/>
    </row>
    <row r="126" spans="14:14">
      <c r="N126" s="60"/>
    </row>
    <row r="127" spans="14:14">
      <c r="N127" s="60"/>
    </row>
    <row r="128" spans="14:14">
      <c r="N128" s="60"/>
    </row>
    <row r="129" spans="14:14">
      <c r="N129" s="60"/>
    </row>
    <row r="130" spans="14:14">
      <c r="N130" s="60"/>
    </row>
    <row r="131" spans="14:14">
      <c r="N131" s="60"/>
    </row>
    <row r="132" spans="14:14">
      <c r="N132" s="60"/>
    </row>
    <row r="133" spans="14:14">
      <c r="N133" s="60"/>
    </row>
    <row r="134" spans="14:14">
      <c r="N134" s="60"/>
    </row>
    <row r="135" spans="14:14">
      <c r="N135" s="60"/>
    </row>
    <row r="136" spans="14:14">
      <c r="N136" s="60"/>
    </row>
    <row r="137" spans="14:14">
      <c r="N137" s="60"/>
    </row>
    <row r="138" spans="14:14">
      <c r="N138" s="60"/>
    </row>
    <row r="139" spans="14:14">
      <c r="N139" s="60"/>
    </row>
    <row r="140" spans="14:14">
      <c r="N140" s="60"/>
    </row>
    <row r="141" spans="14:14">
      <c r="N141" s="60"/>
    </row>
    <row r="142" spans="14:14">
      <c r="N142" s="60"/>
    </row>
    <row r="143" spans="14:14">
      <c r="N143" s="60"/>
    </row>
    <row r="144" spans="14:14">
      <c r="N144" s="60"/>
    </row>
    <row r="145" spans="14:14">
      <c r="N145" s="60"/>
    </row>
    <row r="146" spans="14:14">
      <c r="N146" s="60"/>
    </row>
    <row r="147" spans="14:14">
      <c r="N147" s="60"/>
    </row>
    <row r="148" spans="14:14">
      <c r="N148" s="60"/>
    </row>
    <row r="149" spans="14:14">
      <c r="N149" s="60"/>
    </row>
    <row r="150" spans="14:14">
      <c r="N150" s="60"/>
    </row>
    <row r="151" spans="14:14">
      <c r="N151" s="60"/>
    </row>
    <row r="152" spans="14:14">
      <c r="N152" s="60"/>
    </row>
    <row r="153" spans="14:14">
      <c r="N153" s="60"/>
    </row>
    <row r="154" spans="14:14">
      <c r="N154" s="60"/>
    </row>
    <row r="155" spans="14:14">
      <c r="N155" s="60"/>
    </row>
    <row r="156" spans="14:14">
      <c r="N156" s="60"/>
    </row>
    <row r="157" spans="14:14">
      <c r="N157" s="60"/>
    </row>
    <row r="158" spans="14:14">
      <c r="N158" s="60"/>
    </row>
    <row r="159" spans="14:14">
      <c r="N159" s="60"/>
    </row>
    <row r="160" spans="14:14">
      <c r="N160" s="60"/>
    </row>
    <row r="161" spans="14:14">
      <c r="N161" s="60"/>
    </row>
    <row r="162" spans="14:14">
      <c r="N162" s="60"/>
    </row>
    <row r="163" spans="14:14">
      <c r="N163" s="60"/>
    </row>
    <row r="164" spans="14:14">
      <c r="N164" s="60"/>
    </row>
    <row r="165" spans="14:14">
      <c r="N165" s="60"/>
    </row>
    <row r="166" spans="14:14">
      <c r="N166" s="60"/>
    </row>
    <row r="167" spans="14:14">
      <c r="N167" s="60"/>
    </row>
    <row r="168" spans="14:14">
      <c r="N168" s="60"/>
    </row>
    <row r="169" spans="14:14">
      <c r="N169" s="60"/>
    </row>
    <row r="170" spans="14:14">
      <c r="N170" s="60"/>
    </row>
    <row r="171" spans="14:14">
      <c r="N171" s="60"/>
    </row>
    <row r="172" spans="14:14">
      <c r="N172" s="60"/>
    </row>
    <row r="173" spans="14:14">
      <c r="N173" s="60"/>
    </row>
    <row r="174" spans="14:14">
      <c r="N174" s="60"/>
    </row>
    <row r="175" spans="14:14">
      <c r="N175" s="60"/>
    </row>
    <row r="176" spans="14:14">
      <c r="N176" s="60"/>
    </row>
    <row r="177" spans="14:14">
      <c r="N177" s="60"/>
    </row>
    <row r="178" spans="14:14">
      <c r="N178" s="60"/>
    </row>
    <row r="179" spans="14:14">
      <c r="N179" s="60"/>
    </row>
    <row r="180" spans="14:14">
      <c r="N180" s="60"/>
    </row>
    <row r="181" spans="14:14">
      <c r="N181" s="60"/>
    </row>
    <row r="182" spans="14:14">
      <c r="N182" s="60"/>
    </row>
    <row r="183" spans="14:14">
      <c r="N183" s="60"/>
    </row>
    <row r="184" spans="14:14">
      <c r="N184" s="60"/>
    </row>
    <row r="185" spans="14:14">
      <c r="N185" s="60"/>
    </row>
    <row r="186" spans="14:14">
      <c r="N186" s="60"/>
    </row>
    <row r="187" spans="14:14">
      <c r="N187" s="60"/>
    </row>
    <row r="188" spans="14:14">
      <c r="N188" s="60"/>
    </row>
    <row r="189" spans="14:14">
      <c r="N189" s="60"/>
    </row>
    <row r="190" spans="14:14">
      <c r="N190" s="60"/>
    </row>
    <row r="191" spans="14:14">
      <c r="N191" s="60"/>
    </row>
    <row r="192" spans="14:14">
      <c r="N192" s="60"/>
    </row>
    <row r="193" spans="14:14">
      <c r="N193" s="60"/>
    </row>
    <row r="194" spans="14:14">
      <c r="N194" s="60"/>
    </row>
    <row r="195" spans="14:14">
      <c r="N195" s="60"/>
    </row>
    <row r="196" spans="14:14">
      <c r="N196" s="60"/>
    </row>
    <row r="197" spans="14:14">
      <c r="N197" s="60"/>
    </row>
    <row r="198" spans="14:14">
      <c r="N198" s="60"/>
    </row>
    <row r="199" spans="14:14">
      <c r="N199" s="60"/>
    </row>
    <row r="200" spans="14:14">
      <c r="N200" s="60"/>
    </row>
    <row r="201" spans="14:14">
      <c r="N201" s="60"/>
    </row>
    <row r="202" spans="14:14">
      <c r="N202" s="60"/>
    </row>
    <row r="203" spans="14:14">
      <c r="N203" s="60"/>
    </row>
    <row r="204" spans="14:14">
      <c r="N204" s="60"/>
    </row>
    <row r="205" spans="14:14">
      <c r="N205" s="60"/>
    </row>
    <row r="206" spans="14:14">
      <c r="N206" s="60"/>
    </row>
    <row r="207" spans="14:14">
      <c r="N207" s="60"/>
    </row>
    <row r="208" spans="14:14">
      <c r="N208" s="60"/>
    </row>
    <row r="209" spans="14:14">
      <c r="N209" s="60"/>
    </row>
    <row r="210" spans="14:14">
      <c r="N210" s="60"/>
    </row>
    <row r="211" spans="14:14">
      <c r="N211" s="60"/>
    </row>
    <row r="212" spans="14:14">
      <c r="N212" s="60"/>
    </row>
    <row r="213" spans="14:14">
      <c r="N213" s="60"/>
    </row>
    <row r="214" spans="14:14">
      <c r="N214" s="60"/>
    </row>
    <row r="215" spans="14:14">
      <c r="N215" s="60"/>
    </row>
    <row r="216" spans="14:14">
      <c r="N216" s="60"/>
    </row>
    <row r="217" spans="14:14">
      <c r="N217" s="60"/>
    </row>
    <row r="218" spans="14:14">
      <c r="N218" s="60"/>
    </row>
    <row r="219" spans="14:14">
      <c r="N219" s="60"/>
    </row>
    <row r="220" spans="14:14">
      <c r="N220" s="60"/>
    </row>
    <row r="221" spans="14:14">
      <c r="N221" s="60"/>
    </row>
    <row r="222" spans="14:14">
      <c r="N222" s="60"/>
    </row>
    <row r="223" spans="14:14">
      <c r="N223" s="60"/>
    </row>
    <row r="224" spans="14:14">
      <c r="N224" s="60"/>
    </row>
    <row r="225" spans="14:14">
      <c r="N225" s="60"/>
    </row>
    <row r="226" spans="14:14">
      <c r="N226" s="60"/>
    </row>
    <row r="227" spans="14:14">
      <c r="N227" s="60"/>
    </row>
    <row r="228" spans="14:14">
      <c r="N228" s="60"/>
    </row>
    <row r="229" spans="14:14">
      <c r="N229" s="60"/>
    </row>
    <row r="230" spans="14:14">
      <c r="N230" s="60"/>
    </row>
    <row r="231" spans="14:14">
      <c r="N231" s="60"/>
    </row>
    <row r="232" spans="14:14">
      <c r="N232" s="60"/>
    </row>
    <row r="233" spans="14:14">
      <c r="N233" s="60"/>
    </row>
    <row r="234" spans="14:14">
      <c r="N234" s="60"/>
    </row>
    <row r="235" spans="14:14">
      <c r="N235" s="60"/>
    </row>
    <row r="236" spans="14:14">
      <c r="N236" s="60"/>
    </row>
    <row r="237" spans="14:14">
      <c r="N237" s="60"/>
    </row>
    <row r="238" spans="14:14">
      <c r="N238" s="60"/>
    </row>
    <row r="239" spans="14:14">
      <c r="N239" s="60"/>
    </row>
    <row r="240" spans="14:14">
      <c r="N240" s="60"/>
    </row>
    <row r="241" spans="14:14">
      <c r="N241" s="60"/>
    </row>
    <row r="242" spans="14:14">
      <c r="N242" s="60"/>
    </row>
    <row r="243" spans="14:14">
      <c r="N243" s="60"/>
    </row>
    <row r="244" spans="14:14">
      <c r="N244" s="60"/>
    </row>
    <row r="245" spans="14:14">
      <c r="N245" s="60"/>
    </row>
    <row r="246" spans="14:14">
      <c r="N246" s="60"/>
    </row>
    <row r="247" spans="14:14">
      <c r="N247" s="60"/>
    </row>
    <row r="248" spans="14:14">
      <c r="N248" s="60"/>
    </row>
    <row r="249" spans="14:14">
      <c r="N249" s="60"/>
    </row>
    <row r="250" spans="14:14">
      <c r="N250" s="60"/>
    </row>
    <row r="251" spans="14:14">
      <c r="N251" s="60"/>
    </row>
    <row r="252" spans="14:14">
      <c r="N252" s="60"/>
    </row>
    <row r="253" spans="14:14">
      <c r="N253" s="60"/>
    </row>
    <row r="254" spans="14:14">
      <c r="N254" s="60"/>
    </row>
    <row r="255" spans="14:14">
      <c r="N255" s="60"/>
    </row>
    <row r="256" spans="14:14">
      <c r="N256" s="60"/>
    </row>
    <row r="257" spans="14:14">
      <c r="N257" s="60"/>
    </row>
    <row r="258" spans="14:14">
      <c r="N258" s="60"/>
    </row>
    <row r="259" spans="14:14">
      <c r="N259" s="60"/>
    </row>
    <row r="260" spans="14:14">
      <c r="N260" s="60"/>
    </row>
    <row r="261" spans="14:14">
      <c r="N261" s="60"/>
    </row>
    <row r="262" spans="14:14">
      <c r="N262" s="60"/>
    </row>
    <row r="263" spans="14:14">
      <c r="N263" s="60"/>
    </row>
    <row r="264" spans="14:14">
      <c r="N264" s="60"/>
    </row>
    <row r="265" spans="14:14">
      <c r="N265" s="60"/>
    </row>
    <row r="266" spans="14:14">
      <c r="N266" s="60"/>
    </row>
    <row r="267" spans="14:14">
      <c r="N267" s="60"/>
    </row>
    <row r="268" spans="14:14">
      <c r="N268" s="60"/>
    </row>
    <row r="269" spans="14:14">
      <c r="N269" s="60"/>
    </row>
    <row r="270" spans="14:14">
      <c r="N270" s="60"/>
    </row>
    <row r="271" spans="14:14">
      <c r="N271" s="60"/>
    </row>
    <row r="272" spans="14:14">
      <c r="N272" s="60"/>
    </row>
    <row r="273" spans="14:14">
      <c r="N273" s="60"/>
    </row>
    <row r="274" spans="14:14">
      <c r="N274" s="60"/>
    </row>
    <row r="275" spans="14:14">
      <c r="N275" s="60"/>
    </row>
    <row r="276" spans="14:14">
      <c r="N276" s="60"/>
    </row>
    <row r="277" spans="14:14">
      <c r="N277" s="60"/>
    </row>
    <row r="278" spans="14:14">
      <c r="N278" s="60"/>
    </row>
    <row r="279" spans="14:14">
      <c r="N279" s="60"/>
    </row>
    <row r="280" spans="14:14">
      <c r="N280" s="60"/>
    </row>
    <row r="281" spans="14:14">
      <c r="N281" s="60"/>
    </row>
    <row r="282" spans="14:14">
      <c r="N282" s="60"/>
    </row>
    <row r="283" spans="14:14">
      <c r="N283" s="60"/>
    </row>
    <row r="284" spans="14:14">
      <c r="N284" s="60"/>
    </row>
    <row r="285" spans="14:14">
      <c r="N285" s="60"/>
    </row>
    <row r="286" spans="14:14">
      <c r="N286" s="60"/>
    </row>
    <row r="287" spans="14:14">
      <c r="N287" s="60"/>
    </row>
    <row r="288" spans="14:14">
      <c r="N288" s="60"/>
    </row>
    <row r="289" spans="14:14">
      <c r="N289" s="60"/>
    </row>
    <row r="290" spans="14:14">
      <c r="N290" s="60"/>
    </row>
    <row r="291" spans="14:14">
      <c r="N291" s="60"/>
    </row>
    <row r="292" spans="14:14">
      <c r="N292" s="60"/>
    </row>
    <row r="293" spans="14:14">
      <c r="N293" s="60"/>
    </row>
    <row r="294" spans="14:14">
      <c r="N294" s="60"/>
    </row>
    <row r="295" spans="14:14">
      <c r="N295" s="60"/>
    </row>
    <row r="296" spans="14:14">
      <c r="N296" s="60"/>
    </row>
    <row r="297" spans="14:14">
      <c r="N297" s="60"/>
    </row>
    <row r="298" spans="14:14">
      <c r="N298" s="60"/>
    </row>
    <row r="299" spans="14:14">
      <c r="N299" s="60"/>
    </row>
    <row r="300" spans="14:14">
      <c r="N300" s="60"/>
    </row>
    <row r="301" spans="14:14">
      <c r="N301" s="60"/>
    </row>
    <row r="302" spans="14:14">
      <c r="N302" s="60"/>
    </row>
    <row r="303" spans="14:14">
      <c r="N303" s="60"/>
    </row>
    <row r="304" spans="14:14">
      <c r="N304" s="60"/>
    </row>
    <row r="305" spans="14:14">
      <c r="N305" s="60"/>
    </row>
    <row r="306" spans="14:14">
      <c r="N306" s="60"/>
    </row>
    <row r="307" spans="14:14">
      <c r="N307" s="60"/>
    </row>
    <row r="308" spans="14:14">
      <c r="N308" s="60"/>
    </row>
    <row r="309" spans="14:14">
      <c r="N309" s="60"/>
    </row>
    <row r="310" spans="14:14">
      <c r="N310" s="60"/>
    </row>
    <row r="311" spans="14:14">
      <c r="N311" s="60"/>
    </row>
    <row r="312" spans="14:14">
      <c r="N312" s="60"/>
    </row>
    <row r="313" spans="14:14">
      <c r="N313" s="60"/>
    </row>
    <row r="314" spans="14:14">
      <c r="N314" s="60"/>
    </row>
    <row r="315" spans="14:14">
      <c r="N315" s="60"/>
    </row>
    <row r="316" spans="14:14">
      <c r="N316" s="60"/>
    </row>
    <row r="317" spans="14:14">
      <c r="N317" s="60"/>
    </row>
    <row r="318" spans="14:14">
      <c r="N318" s="60"/>
    </row>
    <row r="319" spans="14:14">
      <c r="N319" s="60"/>
    </row>
    <row r="320" spans="14:14">
      <c r="N320" s="60"/>
    </row>
    <row r="321" spans="14:14">
      <c r="N321" s="60"/>
    </row>
    <row r="322" spans="14:14">
      <c r="N322" s="60"/>
    </row>
    <row r="323" spans="14:14">
      <c r="N323" s="60"/>
    </row>
    <row r="324" spans="14:14">
      <c r="N324" s="60"/>
    </row>
    <row r="325" spans="14:14">
      <c r="N325" s="60"/>
    </row>
    <row r="326" spans="14:14">
      <c r="N326" s="60"/>
    </row>
    <row r="327" spans="14:14">
      <c r="N327" s="60"/>
    </row>
    <row r="328" spans="14:14">
      <c r="N328" s="60"/>
    </row>
    <row r="329" spans="14:14">
      <c r="N329" s="60"/>
    </row>
    <row r="330" spans="14:14">
      <c r="N330" s="60"/>
    </row>
    <row r="331" spans="14:14">
      <c r="N331" s="60"/>
    </row>
    <row r="332" spans="14:14">
      <c r="N332" s="60"/>
    </row>
    <row r="333" spans="14:14">
      <c r="N333" s="60"/>
    </row>
    <row r="334" spans="14:14">
      <c r="N334" s="60"/>
    </row>
    <row r="335" spans="14:14">
      <c r="N335" s="60"/>
    </row>
    <row r="336" spans="14:14">
      <c r="N336" s="60"/>
    </row>
    <row r="337" spans="14:14">
      <c r="N337" s="60"/>
    </row>
    <row r="338" spans="14:14">
      <c r="N338" s="60"/>
    </row>
    <row r="339" spans="14:14">
      <c r="N339" s="60"/>
    </row>
    <row r="340" spans="14:14">
      <c r="N340" s="60"/>
    </row>
    <row r="341" spans="14:14">
      <c r="N341" s="60"/>
    </row>
    <row r="342" spans="14:14">
      <c r="N342" s="60"/>
    </row>
    <row r="343" spans="14:14">
      <c r="N343" s="60"/>
    </row>
    <row r="344" spans="14:14">
      <c r="N344" s="60"/>
    </row>
    <row r="345" spans="14:14">
      <c r="N345" s="60"/>
    </row>
    <row r="346" spans="14:14">
      <c r="N346" s="60"/>
    </row>
    <row r="347" spans="14:14">
      <c r="N347" s="60"/>
    </row>
    <row r="348" spans="14:14">
      <c r="N348" s="60"/>
    </row>
    <row r="349" spans="14:14">
      <c r="N349" s="60"/>
    </row>
    <row r="350" spans="14:14">
      <c r="N350" s="60"/>
    </row>
    <row r="351" spans="14:14">
      <c r="N351" s="60"/>
    </row>
    <row r="352" spans="14:14">
      <c r="N352" s="60"/>
    </row>
    <row r="353" spans="14:14">
      <c r="N353" s="60"/>
    </row>
    <row r="354" spans="14:14">
      <c r="N354" s="60"/>
    </row>
    <row r="355" spans="14:14">
      <c r="N355" s="60"/>
    </row>
    <row r="356" spans="14:14">
      <c r="N356" s="60"/>
    </row>
    <row r="357" spans="14:14">
      <c r="N357" s="60"/>
    </row>
    <row r="358" spans="14:14">
      <c r="N358" s="60"/>
    </row>
    <row r="359" spans="14:14">
      <c r="N359" s="60"/>
    </row>
    <row r="360" spans="14:14">
      <c r="N360" s="60"/>
    </row>
    <row r="361" spans="14:14">
      <c r="N361" s="60"/>
    </row>
    <row r="362" spans="14:14">
      <c r="N362" s="60"/>
    </row>
    <row r="363" spans="14:14">
      <c r="N363" s="60"/>
    </row>
    <row r="364" spans="14:14">
      <c r="N364" s="60"/>
    </row>
    <row r="365" spans="14:14">
      <c r="N365" s="60"/>
    </row>
    <row r="366" spans="14:14">
      <c r="N366" s="60"/>
    </row>
    <row r="367" spans="14:14">
      <c r="N367" s="60"/>
    </row>
    <row r="368" spans="14:14">
      <c r="N368" s="60"/>
    </row>
    <row r="369" spans="14:14">
      <c r="N369" s="60"/>
    </row>
    <row r="370" spans="14:14">
      <c r="N370" s="60"/>
    </row>
    <row r="371" spans="14:14">
      <c r="N371" s="60"/>
    </row>
    <row r="372" spans="14:14">
      <c r="N372" s="60"/>
    </row>
    <row r="373" spans="14:14">
      <c r="N373" s="60"/>
    </row>
    <row r="374" spans="14:14">
      <c r="N374" s="60"/>
    </row>
    <row r="375" spans="14:14">
      <c r="N375" s="60"/>
    </row>
    <row r="376" spans="14:14">
      <c r="N376" s="60"/>
    </row>
    <row r="377" spans="14:14">
      <c r="N377" s="60"/>
    </row>
    <row r="378" spans="14:14">
      <c r="N378" s="60"/>
    </row>
    <row r="379" spans="14:14">
      <c r="N379" s="60"/>
    </row>
    <row r="380" spans="14:14">
      <c r="N380" s="60"/>
    </row>
    <row r="381" spans="14:14">
      <c r="N381" s="60"/>
    </row>
    <row r="382" spans="14:14">
      <c r="N382" s="60"/>
    </row>
    <row r="383" spans="14:14">
      <c r="N383" s="60"/>
    </row>
    <row r="384" spans="14:14">
      <c r="N384" s="60"/>
    </row>
    <row r="385" spans="14:14">
      <c r="N385" s="60"/>
    </row>
    <row r="386" spans="14:14">
      <c r="N386" s="60"/>
    </row>
    <row r="387" spans="14:14">
      <c r="N387" s="60"/>
    </row>
    <row r="388" spans="14:14">
      <c r="N388" s="60"/>
    </row>
    <row r="389" spans="14:14">
      <c r="N389" s="60"/>
    </row>
    <row r="390" spans="14:14">
      <c r="N390" s="60"/>
    </row>
    <row r="391" spans="14:14">
      <c r="N391" s="60"/>
    </row>
    <row r="392" spans="14:14">
      <c r="N392" s="60"/>
    </row>
    <row r="393" spans="14:14">
      <c r="N393" s="60"/>
    </row>
    <row r="394" spans="14:14">
      <c r="N394" s="60"/>
    </row>
    <row r="395" spans="14:14">
      <c r="N395" s="60"/>
    </row>
    <row r="396" spans="14:14">
      <c r="N396" s="60"/>
    </row>
    <row r="397" spans="14:14">
      <c r="N397" s="60"/>
    </row>
    <row r="398" spans="14:14">
      <c r="N398" s="60"/>
    </row>
    <row r="399" spans="14:14">
      <c r="N399" s="60"/>
    </row>
    <row r="400" spans="14:14">
      <c r="N400" s="60"/>
    </row>
    <row r="401" spans="14:14">
      <c r="N401" s="60"/>
    </row>
    <row r="402" spans="14:14">
      <c r="N402" s="60"/>
    </row>
    <row r="403" spans="14:14">
      <c r="N403" s="60"/>
    </row>
    <row r="404" spans="14:14">
      <c r="N404" s="60"/>
    </row>
    <row r="405" spans="14:14">
      <c r="N405" s="60"/>
    </row>
    <row r="406" spans="14:14">
      <c r="N406" s="60"/>
    </row>
    <row r="407" spans="14:14">
      <c r="N407" s="60"/>
    </row>
    <row r="408" spans="14:14">
      <c r="N408" s="60"/>
    </row>
    <row r="409" spans="14:14">
      <c r="N409" s="60"/>
    </row>
    <row r="410" spans="14:14">
      <c r="N410" s="60"/>
    </row>
    <row r="411" spans="14:14">
      <c r="N411" s="60"/>
    </row>
    <row r="412" spans="14:14">
      <c r="N412" s="60"/>
    </row>
    <row r="413" spans="14:14">
      <c r="N413" s="60"/>
    </row>
    <row r="414" spans="14:14">
      <c r="N414" s="60"/>
    </row>
    <row r="415" spans="14:14">
      <c r="N415" s="60"/>
    </row>
    <row r="416" spans="14:14">
      <c r="N416" s="60"/>
    </row>
    <row r="417" spans="14:14">
      <c r="N417" s="60"/>
    </row>
    <row r="418" spans="14:14">
      <c r="N418" s="60"/>
    </row>
    <row r="419" spans="14:14">
      <c r="N419" s="60"/>
    </row>
    <row r="420" spans="14:14">
      <c r="N420" s="60"/>
    </row>
    <row r="421" spans="14:14">
      <c r="N421" s="60"/>
    </row>
    <row r="422" spans="14:14">
      <c r="N422" s="60"/>
    </row>
    <row r="423" spans="14:14">
      <c r="N423" s="60"/>
    </row>
    <row r="424" spans="14:14">
      <c r="N424" s="60"/>
    </row>
    <row r="425" spans="14:14">
      <c r="N425" s="60"/>
    </row>
    <row r="426" spans="14:14">
      <c r="N426" s="60"/>
    </row>
    <row r="427" spans="14:14">
      <c r="N427" s="60"/>
    </row>
    <row r="428" spans="14:14">
      <c r="N428" s="60"/>
    </row>
    <row r="429" spans="14:14">
      <c r="N429" s="60"/>
    </row>
    <row r="430" spans="14:14">
      <c r="N430" s="60"/>
    </row>
    <row r="431" spans="14:14">
      <c r="N431" s="60"/>
    </row>
    <row r="432" spans="14:14">
      <c r="N432" s="60"/>
    </row>
    <row r="433" spans="14:14">
      <c r="N433" s="60"/>
    </row>
    <row r="434" spans="14:14">
      <c r="N434" s="60"/>
    </row>
    <row r="435" spans="14:14">
      <c r="N435" s="60"/>
    </row>
    <row r="436" spans="14:14">
      <c r="N436" s="60"/>
    </row>
    <row r="437" spans="14:14">
      <c r="N437" s="60"/>
    </row>
    <row r="438" spans="14:14">
      <c r="N438" s="60"/>
    </row>
    <row r="439" spans="14:14">
      <c r="N439" s="60"/>
    </row>
    <row r="440" spans="14:14">
      <c r="N440" s="60"/>
    </row>
    <row r="441" spans="14:14">
      <c r="N441" s="60"/>
    </row>
    <row r="442" spans="14:14">
      <c r="N442" s="60"/>
    </row>
    <row r="443" spans="14:14">
      <c r="N443" s="60"/>
    </row>
    <row r="444" spans="14:14">
      <c r="N444" s="60"/>
    </row>
    <row r="445" spans="14:14">
      <c r="N445" s="60"/>
    </row>
    <row r="446" spans="14:14">
      <c r="N446" s="60"/>
    </row>
    <row r="447" spans="14:14">
      <c r="N447" s="60"/>
    </row>
    <row r="448" spans="14:14">
      <c r="N448" s="60"/>
    </row>
  </sheetData>
  <mergeCells count="10">
    <mergeCell ref="AF11:AG11"/>
    <mergeCell ref="H24:I24"/>
    <mergeCell ref="H25:I25"/>
    <mergeCell ref="H26:I26"/>
    <mergeCell ref="B1:C1"/>
    <mergeCell ref="E1:F1"/>
    <mergeCell ref="G1:H1"/>
    <mergeCell ref="Q1:R1"/>
    <mergeCell ref="Y11:AA11"/>
    <mergeCell ref="AB11:AE11"/>
  </mergeCells>
  <pageMargins left="0.17" right="0.17" top="0.61" bottom="0.75" header="0.3" footer="0.3"/>
  <pageSetup scale="44" fitToHeight="0" orientation="landscape" horizontalDpi="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1AB23-8217-46DA-B44F-0E09CDE90397}">
  <sheetPr>
    <pageSetUpPr fitToPage="1"/>
  </sheetPr>
  <dimension ref="A1:O58"/>
  <sheetViews>
    <sheetView view="pageBreakPreview" topLeftCell="A8" zoomScale="85" zoomScaleNormal="80" zoomScaleSheetLayoutView="85" zoomScalePageLayoutView="55" workbookViewId="0">
      <selection activeCell="L6" sqref="L6:L7"/>
    </sheetView>
  </sheetViews>
  <sheetFormatPr defaultColWidth="9.1796875" defaultRowHeight="18.5"/>
  <cols>
    <col min="1" max="1" width="4.1796875" style="108" customWidth="1"/>
    <col min="2" max="2" width="67.81640625" style="108" customWidth="1"/>
    <col min="3" max="3" width="14.81640625" style="108" customWidth="1"/>
    <col min="4" max="4" width="15.453125" style="108" customWidth="1"/>
    <col min="5" max="5" width="18.81640625" style="256" customWidth="1"/>
    <col min="6" max="6" width="16.7265625" style="156" bestFit="1" customWidth="1"/>
    <col min="7" max="8" width="19" style="156" customWidth="1"/>
    <col min="9" max="9" width="19" style="107" customWidth="1"/>
    <col min="10" max="10" width="19" style="108" customWidth="1"/>
    <col min="11" max="11" width="21.1796875" style="108" bestFit="1" customWidth="1"/>
    <col min="12" max="13" width="19" style="108" customWidth="1"/>
    <col min="14" max="14" width="31" style="108" bestFit="1" customWidth="1"/>
    <col min="15" max="15" width="22.453125" style="229" customWidth="1"/>
    <col min="16" max="16384" width="9.1796875" style="108"/>
  </cols>
  <sheetData>
    <row r="1" spans="1:15" ht="42.75" customHeight="1">
      <c r="A1" s="106"/>
      <c r="B1" s="304" t="s">
        <v>48</v>
      </c>
      <c r="C1" s="304"/>
      <c r="D1" s="107"/>
      <c r="E1" s="228"/>
      <c r="F1" s="305"/>
      <c r="G1" s="305"/>
      <c r="H1" s="223"/>
    </row>
    <row r="2" spans="1:15" ht="44.25" customHeight="1">
      <c r="A2" s="106"/>
      <c r="B2" s="160" t="s">
        <v>138</v>
      </c>
      <c r="C2" s="109"/>
      <c r="D2" s="109"/>
      <c r="E2" s="109"/>
      <c r="F2" s="110"/>
      <c r="G2" s="110"/>
      <c r="H2" s="110"/>
      <c r="O2" s="230"/>
    </row>
    <row r="3" spans="1:15">
      <c r="A3" s="106"/>
      <c r="B3" s="106"/>
      <c r="C3" s="106"/>
      <c r="D3" s="107"/>
      <c r="E3" s="231"/>
      <c r="F3" s="110"/>
      <c r="G3" s="110"/>
      <c r="H3" s="110"/>
      <c r="O3" s="230"/>
    </row>
    <row r="4" spans="1:15" ht="21" customHeight="1">
      <c r="A4" s="107"/>
      <c r="B4" s="223" t="s">
        <v>3</v>
      </c>
      <c r="C4" s="111"/>
      <c r="D4" s="112" t="s">
        <v>67</v>
      </c>
      <c r="E4" s="232">
        <v>2000000</v>
      </c>
      <c r="F4" s="202">
        <f>E4+E5</f>
        <v>2000000</v>
      </c>
      <c r="G4" s="110"/>
      <c r="H4" s="110"/>
      <c r="O4" s="230"/>
    </row>
    <row r="5" spans="1:15" ht="21.75" customHeight="1">
      <c r="A5" s="107"/>
      <c r="B5" s="108" t="s">
        <v>5</v>
      </c>
      <c r="C5" s="113"/>
      <c r="D5" s="112" t="s">
        <v>68</v>
      </c>
      <c r="E5" s="232">
        <v>0</v>
      </c>
      <c r="F5" s="110"/>
      <c r="G5" s="110"/>
      <c r="H5" s="110"/>
      <c r="M5" s="233"/>
      <c r="O5" s="230"/>
    </row>
    <row r="6" spans="1:15">
      <c r="A6" s="107"/>
      <c r="C6" s="223"/>
      <c r="D6" s="107"/>
      <c r="E6" s="231"/>
      <c r="F6" s="110"/>
      <c r="G6" s="110"/>
      <c r="H6" s="110"/>
      <c r="M6" s="233"/>
      <c r="O6" s="230"/>
    </row>
    <row r="7" spans="1:15" ht="21.75" customHeight="1">
      <c r="A7" s="107"/>
      <c r="C7" s="107"/>
      <c r="D7" s="112" t="s">
        <v>69</v>
      </c>
      <c r="E7" s="234">
        <v>0.2</v>
      </c>
      <c r="F7" s="110"/>
      <c r="G7" s="110"/>
      <c r="H7" s="110"/>
      <c r="M7" s="233"/>
    </row>
    <row r="8" spans="1:15" ht="27" customHeight="1">
      <c r="A8" s="114"/>
      <c r="D8" s="114"/>
      <c r="E8" s="235"/>
      <c r="F8" s="114"/>
      <c r="G8" s="114"/>
      <c r="H8" s="114"/>
      <c r="M8" s="233"/>
      <c r="O8" s="230"/>
    </row>
    <row r="9" spans="1:15" ht="27" customHeight="1">
      <c r="A9" s="115"/>
      <c r="B9" s="116" t="s">
        <v>13</v>
      </c>
      <c r="C9" s="116" t="s">
        <v>139</v>
      </c>
      <c r="D9" s="115"/>
      <c r="E9" s="236"/>
      <c r="F9" s="115"/>
      <c r="G9" s="115"/>
      <c r="H9" s="115"/>
      <c r="M9" s="233"/>
      <c r="O9" s="230"/>
    </row>
    <row r="10" spans="1:15" ht="25.5" customHeight="1">
      <c r="A10" s="107"/>
      <c r="B10" s="117" t="s">
        <v>16</v>
      </c>
      <c r="C10" s="117" t="s">
        <v>70</v>
      </c>
      <c r="D10" s="107"/>
      <c r="E10" s="228"/>
      <c r="F10" s="107"/>
      <c r="G10" s="110"/>
      <c r="H10" s="110"/>
    </row>
    <row r="11" spans="1:15" ht="63" customHeight="1">
      <c r="A11" s="118"/>
      <c r="B11" s="119" t="s">
        <v>19</v>
      </c>
      <c r="C11" s="119" t="s">
        <v>20</v>
      </c>
      <c r="D11" s="119" t="s">
        <v>22</v>
      </c>
      <c r="E11" s="237" t="s">
        <v>71</v>
      </c>
      <c r="F11" s="119" t="s">
        <v>25</v>
      </c>
      <c r="G11" s="237" t="s">
        <v>72</v>
      </c>
      <c r="H11" s="237" t="s">
        <v>73</v>
      </c>
      <c r="I11" s="118" t="s">
        <v>74</v>
      </c>
      <c r="J11" s="238" t="s">
        <v>75</v>
      </c>
      <c r="K11" s="238" t="s">
        <v>54</v>
      </c>
      <c r="L11" s="120" t="s">
        <v>37</v>
      </c>
      <c r="M11" s="120" t="s">
        <v>37</v>
      </c>
      <c r="N11" s="120" t="s">
        <v>76</v>
      </c>
      <c r="O11" s="239" t="s">
        <v>39</v>
      </c>
    </row>
    <row r="12" spans="1:15" s="130" customFormat="1">
      <c r="A12" s="121"/>
      <c r="B12" s="122"/>
      <c r="C12" s="122"/>
      <c r="D12" s="123"/>
      <c r="E12" s="240"/>
      <c r="F12" s="124"/>
      <c r="G12" s="125"/>
      <c r="H12" s="125"/>
      <c r="I12" s="126"/>
      <c r="J12" s="127"/>
      <c r="K12" s="127"/>
      <c r="L12" s="128"/>
      <c r="M12" s="129"/>
      <c r="N12" s="128"/>
      <c r="O12" s="241"/>
    </row>
    <row r="13" spans="1:15" s="137" customFormat="1" ht="114.75" customHeight="1">
      <c r="A13" s="131">
        <v>1</v>
      </c>
      <c r="B13" s="132" t="s">
        <v>140</v>
      </c>
      <c r="C13" s="132" t="s">
        <v>139</v>
      </c>
      <c r="D13" s="133">
        <f>HAD!E14*2</f>
        <v>70</v>
      </c>
      <c r="E13" s="242">
        <v>1300000</v>
      </c>
      <c r="F13" s="243">
        <v>0</v>
      </c>
      <c r="G13" s="134">
        <f>E13*(100%-F13)</f>
        <v>1300000</v>
      </c>
      <c r="H13" s="134">
        <f>G13*D13</f>
        <v>91000000</v>
      </c>
      <c r="I13" s="135">
        <f>ROUND($F$4/$H$18*H13/D13,0)</f>
        <v>12897</v>
      </c>
      <c r="J13" s="244">
        <f>(I13+G13)</f>
        <v>1312897</v>
      </c>
      <c r="K13" s="244">
        <f>J13*D13</f>
        <v>91902790</v>
      </c>
      <c r="L13" s="136">
        <f>J13/(1-$E$7)</f>
        <v>1641121.25</v>
      </c>
      <c r="M13" s="136">
        <f>ROUND(L13,-3)</f>
        <v>1641000</v>
      </c>
      <c r="N13" s="136">
        <f>M13*D13</f>
        <v>114870000</v>
      </c>
      <c r="O13" s="245">
        <f t="shared" ref="O13:O18" si="0">(N13-K13)/N13</f>
        <v>0.19994088970140159</v>
      </c>
    </row>
    <row r="14" spans="1:15" s="137" customFormat="1" ht="91.5" customHeight="1">
      <c r="A14" s="131">
        <v>2</v>
      </c>
      <c r="B14" s="132" t="s">
        <v>141</v>
      </c>
      <c r="C14" s="132" t="s">
        <v>142</v>
      </c>
      <c r="D14" s="133">
        <f>D13</f>
        <v>70</v>
      </c>
      <c r="E14" s="246">
        <v>650000</v>
      </c>
      <c r="F14" s="243">
        <v>0</v>
      </c>
      <c r="G14" s="134">
        <f>E14*(100%-F14)</f>
        <v>650000</v>
      </c>
      <c r="H14" s="134">
        <f>G14*D14</f>
        <v>45500000</v>
      </c>
      <c r="I14" s="135">
        <f>ROUND($F$4/$H$18*H14/D14,0)</f>
        <v>6448</v>
      </c>
      <c r="J14" s="244">
        <f>(I14+G14)</f>
        <v>656448</v>
      </c>
      <c r="K14" s="244">
        <f>J14*D14</f>
        <v>45951360</v>
      </c>
      <c r="L14" s="136">
        <f>J14/(1-$E$7)</f>
        <v>820560</v>
      </c>
      <c r="M14" s="136">
        <f t="shared" ref="M14:M17" si="1">ROUND(L14,-3)</f>
        <v>821000</v>
      </c>
      <c r="N14" s="136">
        <f>M14*D14</f>
        <v>57470000</v>
      </c>
      <c r="O14" s="245">
        <f t="shared" si="0"/>
        <v>0.20042874543239952</v>
      </c>
    </row>
    <row r="15" spans="1:15" s="137" customFormat="1" ht="91.5" customHeight="1">
      <c r="A15" s="131">
        <v>3</v>
      </c>
      <c r="B15" s="132" t="s">
        <v>143</v>
      </c>
      <c r="C15" s="132" t="s">
        <v>144</v>
      </c>
      <c r="D15" s="133">
        <f>D13</f>
        <v>70</v>
      </c>
      <c r="E15" s="246">
        <v>330000</v>
      </c>
      <c r="F15" s="243">
        <v>0</v>
      </c>
      <c r="G15" s="134">
        <f>E15*(100%-F15)</f>
        <v>330000</v>
      </c>
      <c r="H15" s="134">
        <f>G15*D15</f>
        <v>23100000</v>
      </c>
      <c r="I15" s="135">
        <f>ROUND($F$4/$H$18*H15/D15,0)</f>
        <v>3274</v>
      </c>
      <c r="J15" s="244">
        <f>(I15+G15)</f>
        <v>333274</v>
      </c>
      <c r="K15" s="244">
        <f>J15*D15</f>
        <v>23329180</v>
      </c>
      <c r="L15" s="136">
        <f>J15/(1-$E$7)</f>
        <v>416592.5</v>
      </c>
      <c r="M15" s="136">
        <f t="shared" si="1"/>
        <v>417000</v>
      </c>
      <c r="N15" s="136">
        <f>M15*D15</f>
        <v>29190000</v>
      </c>
      <c r="O15" s="245">
        <f t="shared" si="0"/>
        <v>0.20078177458033572</v>
      </c>
    </row>
    <row r="16" spans="1:15" s="137" customFormat="1" ht="91.5" customHeight="1">
      <c r="A16" s="131">
        <v>4</v>
      </c>
      <c r="B16" s="132" t="s">
        <v>152</v>
      </c>
      <c r="C16" s="132" t="s">
        <v>144</v>
      </c>
      <c r="D16" s="133">
        <f>D14</f>
        <v>70</v>
      </c>
      <c r="E16" s="246">
        <v>200000</v>
      </c>
      <c r="F16" s="243">
        <v>0</v>
      </c>
      <c r="G16" s="134">
        <f>E16*(100%-F16)</f>
        <v>200000</v>
      </c>
      <c r="H16" s="134">
        <f>G16*D16</f>
        <v>14000000</v>
      </c>
      <c r="I16" s="135">
        <f>ROUND($F$4/$H$18*H16/D16,0)</f>
        <v>1984</v>
      </c>
      <c r="J16" s="244">
        <f>(I16+G16)</f>
        <v>201984</v>
      </c>
      <c r="K16" s="244">
        <f>J16*D16</f>
        <v>14138880</v>
      </c>
      <c r="L16" s="136">
        <f>J16/(1-$E$7)</f>
        <v>252480</v>
      </c>
      <c r="M16" s="136">
        <f t="shared" ref="M16" si="2">ROUND(L16,-3)</f>
        <v>252000</v>
      </c>
      <c r="N16" s="136">
        <f>M16*D16</f>
        <v>17640000</v>
      </c>
      <c r="O16" s="245">
        <f t="shared" ref="O16" si="3">(N16-K16)/N16</f>
        <v>0.19847619047619047</v>
      </c>
    </row>
    <row r="17" spans="1:15" s="137" customFormat="1" ht="91.5" customHeight="1">
      <c r="A17" s="131">
        <v>5</v>
      </c>
      <c r="B17" s="132" t="s">
        <v>145</v>
      </c>
      <c r="C17" s="132"/>
      <c r="D17" s="133">
        <f>HAD!E14</f>
        <v>35</v>
      </c>
      <c r="E17" s="246">
        <v>800000</v>
      </c>
      <c r="F17" s="243">
        <v>0</v>
      </c>
      <c r="G17" s="134">
        <f>E17*(100%-F17)</f>
        <v>800000</v>
      </c>
      <c r="H17" s="134">
        <f>G17*D17</f>
        <v>28000000</v>
      </c>
      <c r="I17" s="135">
        <f>ROUND($F$4/$H$18*H17/D17,0)</f>
        <v>7937</v>
      </c>
      <c r="J17" s="244">
        <f>(I17+G17)</f>
        <v>807937</v>
      </c>
      <c r="K17" s="244">
        <f>J17*D17</f>
        <v>28277795</v>
      </c>
      <c r="L17" s="136">
        <f>J17/(1-$E$7)</f>
        <v>1009921.25</v>
      </c>
      <c r="M17" s="136">
        <f t="shared" si="1"/>
        <v>1010000</v>
      </c>
      <c r="N17" s="136">
        <f>M17*D17</f>
        <v>35350000</v>
      </c>
      <c r="O17" s="245">
        <f t="shared" si="0"/>
        <v>0.20006237623762377</v>
      </c>
    </row>
    <row r="18" spans="1:15" s="143" customFormat="1" ht="18.75" customHeight="1">
      <c r="A18" s="138"/>
      <c r="B18" s="119" t="s">
        <v>77</v>
      </c>
      <c r="C18" s="119"/>
      <c r="D18" s="119">
        <f>SUM(D13:D17)</f>
        <v>315</v>
      </c>
      <c r="E18" s="247"/>
      <c r="F18" s="119"/>
      <c r="G18" s="139"/>
      <c r="H18" s="139">
        <f>SUM(H13:H17)</f>
        <v>201600000</v>
      </c>
      <c r="I18" s="140"/>
      <c r="J18" s="141"/>
      <c r="K18" s="139">
        <f>SUM(K13:K17)</f>
        <v>203600005</v>
      </c>
      <c r="L18" s="142"/>
      <c r="M18" s="142"/>
      <c r="N18" s="139">
        <f>SUM(N13:N17)</f>
        <v>254520000</v>
      </c>
      <c r="O18" s="248">
        <f t="shared" si="0"/>
        <v>0.20006284378437844</v>
      </c>
    </row>
    <row r="19" spans="1:15" ht="19.5" customHeight="1">
      <c r="A19" s="144"/>
      <c r="B19" s="144"/>
      <c r="C19" s="144"/>
      <c r="D19" s="145"/>
      <c r="E19" s="249"/>
      <c r="F19" s="146"/>
      <c r="G19" s="146"/>
      <c r="H19" s="146"/>
    </row>
    <row r="20" spans="1:15">
      <c r="A20" s="106"/>
      <c r="B20" s="109"/>
      <c r="C20" s="106"/>
      <c r="D20" s="147"/>
      <c r="E20" s="250"/>
      <c r="F20" s="148"/>
      <c r="G20" s="148"/>
      <c r="H20" s="148"/>
      <c r="I20" s="203"/>
    </row>
    <row r="21" spans="1:15" s="143" customFormat="1">
      <c r="A21" s="109"/>
      <c r="B21" s="109"/>
      <c r="C21" s="109"/>
      <c r="D21" s="109"/>
      <c r="E21" s="251"/>
      <c r="F21" s="149"/>
      <c r="G21" s="149"/>
      <c r="H21" s="149"/>
      <c r="I21" s="109"/>
      <c r="O21" s="252"/>
    </row>
    <row r="22" spans="1:15" s="143" customFormat="1" ht="18.75" customHeight="1">
      <c r="A22" s="109"/>
      <c r="B22" s="109"/>
      <c r="C22" s="109"/>
      <c r="D22" s="109"/>
      <c r="E22" s="251"/>
      <c r="F22" s="149"/>
      <c r="G22" s="149"/>
      <c r="H22" s="149"/>
      <c r="I22" s="109"/>
      <c r="O22" s="252"/>
    </row>
    <row r="23" spans="1:15" s="143" customFormat="1" ht="15" customHeight="1">
      <c r="A23" s="109"/>
      <c r="B23" s="109"/>
      <c r="C23" s="109"/>
      <c r="D23" s="109"/>
      <c r="E23" s="251"/>
      <c r="F23" s="150"/>
      <c r="G23" s="150"/>
      <c r="H23" s="150"/>
      <c r="I23" s="109"/>
      <c r="O23" s="252"/>
    </row>
    <row r="24" spans="1:15" s="143" customFormat="1" ht="18.75" customHeight="1">
      <c r="A24" s="108"/>
      <c r="B24" s="108"/>
      <c r="E24" s="253"/>
      <c r="F24" s="151"/>
      <c r="G24" s="151"/>
      <c r="H24" s="151"/>
      <c r="I24" s="109"/>
      <c r="O24" s="252"/>
    </row>
    <row r="25" spans="1:15" s="143" customFormat="1">
      <c r="B25" s="109"/>
      <c r="E25" s="253"/>
      <c r="F25" s="151"/>
      <c r="G25" s="151"/>
      <c r="H25" s="151"/>
      <c r="I25" s="109"/>
      <c r="O25" s="252"/>
    </row>
    <row r="26" spans="1:15" s="143" customFormat="1">
      <c r="B26" s="108"/>
      <c r="C26" s="108"/>
      <c r="D26" s="152"/>
      <c r="E26" s="253"/>
      <c r="F26" s="151"/>
      <c r="G26" s="151"/>
      <c r="H26" s="151"/>
      <c r="I26" s="109"/>
      <c r="O26" s="252"/>
    </row>
    <row r="27" spans="1:15" s="143" customFormat="1">
      <c r="A27" s="108"/>
      <c r="C27" s="108"/>
      <c r="D27" s="152"/>
      <c r="E27" s="253"/>
      <c r="F27" s="151"/>
      <c r="G27" s="151"/>
      <c r="H27" s="151"/>
      <c r="I27" s="109"/>
      <c r="O27" s="252"/>
    </row>
    <row r="28" spans="1:15" s="143" customFormat="1">
      <c r="A28" s="108"/>
      <c r="B28" s="109"/>
      <c r="C28" s="108"/>
      <c r="D28" s="152"/>
      <c r="E28" s="253"/>
      <c r="F28" s="151"/>
      <c r="G28" s="151"/>
      <c r="H28" s="151"/>
      <c r="I28" s="109"/>
      <c r="O28" s="252"/>
    </row>
    <row r="29" spans="1:15" s="143" customFormat="1">
      <c r="A29" s="108"/>
      <c r="B29" s="108"/>
      <c r="C29" s="108"/>
      <c r="D29" s="152"/>
      <c r="E29" s="253"/>
      <c r="F29" s="151"/>
      <c r="G29" s="151"/>
      <c r="H29" s="151"/>
      <c r="I29" s="109"/>
      <c r="O29" s="252"/>
    </row>
    <row r="30" spans="1:15" s="143" customFormat="1">
      <c r="C30" s="108"/>
      <c r="D30" s="152"/>
      <c r="E30" s="253"/>
      <c r="F30" s="151"/>
      <c r="G30" s="151"/>
      <c r="H30" s="151"/>
      <c r="I30" s="109"/>
      <c r="O30" s="252"/>
    </row>
    <row r="31" spans="1:15" s="143" customFormat="1">
      <c r="A31" s="108"/>
      <c r="C31" s="108"/>
      <c r="D31" s="152"/>
      <c r="E31" s="253"/>
      <c r="F31" s="151"/>
      <c r="G31" s="151"/>
      <c r="H31" s="151"/>
      <c r="I31" s="109"/>
      <c r="O31" s="252"/>
    </row>
    <row r="32" spans="1:15" s="143" customFormat="1">
      <c r="A32" s="153"/>
      <c r="B32" s="108"/>
      <c r="C32" s="153"/>
      <c r="D32" s="108"/>
      <c r="E32" s="253"/>
      <c r="F32" s="151"/>
      <c r="G32" s="151"/>
      <c r="H32" s="151"/>
      <c r="I32" s="109"/>
      <c r="O32" s="252"/>
    </row>
    <row r="33" spans="1:15" s="143" customFormat="1">
      <c r="B33" s="108"/>
      <c r="C33" s="108"/>
      <c r="D33" s="152"/>
      <c r="E33" s="253"/>
      <c r="F33" s="151"/>
      <c r="G33" s="151"/>
      <c r="H33" s="151"/>
      <c r="I33" s="109"/>
      <c r="O33" s="252"/>
    </row>
    <row r="34" spans="1:15" s="143" customFormat="1">
      <c r="B34" s="108"/>
      <c r="C34" s="108"/>
      <c r="D34" s="154"/>
      <c r="E34" s="253"/>
      <c r="F34" s="151"/>
      <c r="G34" s="151"/>
      <c r="H34" s="151"/>
      <c r="I34" s="109"/>
      <c r="O34" s="252"/>
    </row>
    <row r="35" spans="1:15" s="143" customFormat="1">
      <c r="A35" s="108"/>
      <c r="C35" s="108"/>
      <c r="D35" s="108"/>
      <c r="E35" s="253"/>
      <c r="F35" s="151"/>
      <c r="G35" s="151"/>
      <c r="H35" s="151"/>
      <c r="I35" s="109"/>
      <c r="O35" s="252"/>
    </row>
    <row r="36" spans="1:15" s="143" customFormat="1">
      <c r="A36" s="108"/>
      <c r="B36" s="108"/>
      <c r="E36" s="253"/>
      <c r="F36" s="155"/>
      <c r="G36" s="155"/>
      <c r="H36" s="155"/>
      <c r="I36" s="109"/>
      <c r="O36" s="252"/>
    </row>
    <row r="37" spans="1:15" s="143" customFormat="1">
      <c r="B37" s="153"/>
      <c r="E37" s="253"/>
      <c r="F37" s="155"/>
      <c r="G37" s="155"/>
      <c r="H37" s="155"/>
      <c r="I37" s="109"/>
      <c r="O37" s="252"/>
    </row>
    <row r="38" spans="1:15" s="143" customFormat="1">
      <c r="E38" s="254"/>
      <c r="F38" s="155"/>
      <c r="G38" s="155"/>
      <c r="H38" s="155"/>
      <c r="I38" s="109"/>
      <c r="O38" s="255"/>
    </row>
    <row r="39" spans="1:15" s="143" customFormat="1">
      <c r="E39" s="254"/>
      <c r="F39" s="155"/>
      <c r="G39" s="155"/>
      <c r="H39" s="155"/>
      <c r="I39" s="109"/>
      <c r="O39" s="255"/>
    </row>
    <row r="40" spans="1:15" s="143" customFormat="1">
      <c r="B40" s="108"/>
      <c r="E40" s="254"/>
      <c r="F40" s="155"/>
      <c r="G40" s="155"/>
      <c r="H40" s="155"/>
      <c r="I40" s="109"/>
      <c r="O40" s="255"/>
    </row>
    <row r="41" spans="1:15" s="143" customFormat="1">
      <c r="B41" s="108"/>
      <c r="E41" s="254"/>
      <c r="F41" s="155"/>
      <c r="G41" s="155"/>
      <c r="H41" s="155"/>
      <c r="I41" s="109"/>
      <c r="O41" s="255"/>
    </row>
    <row r="42" spans="1:15" s="143" customFormat="1">
      <c r="E42" s="254"/>
      <c r="F42" s="155"/>
      <c r="G42" s="155"/>
      <c r="H42" s="155"/>
      <c r="I42" s="109"/>
      <c r="O42" s="255"/>
    </row>
    <row r="43" spans="1:15" s="143" customFormat="1">
      <c r="E43" s="254"/>
      <c r="F43" s="155"/>
      <c r="G43" s="155"/>
      <c r="H43" s="155"/>
      <c r="I43" s="109"/>
      <c r="O43" s="255"/>
    </row>
    <row r="44" spans="1:15" s="143" customFormat="1">
      <c r="E44" s="254"/>
      <c r="F44" s="155"/>
      <c r="G44" s="155"/>
      <c r="H44" s="155"/>
      <c r="I44" s="109"/>
      <c r="O44" s="255"/>
    </row>
    <row r="45" spans="1:15" s="143" customFormat="1">
      <c r="E45" s="254"/>
      <c r="F45" s="155"/>
      <c r="G45" s="155"/>
      <c r="H45" s="155"/>
      <c r="I45" s="109"/>
      <c r="O45" s="255"/>
    </row>
    <row r="46" spans="1:15" s="143" customFormat="1">
      <c r="E46" s="254"/>
      <c r="F46" s="155"/>
      <c r="G46" s="155"/>
      <c r="H46" s="155"/>
      <c r="I46" s="109"/>
      <c r="O46" s="255"/>
    </row>
    <row r="47" spans="1:15" s="143" customFormat="1">
      <c r="E47" s="254"/>
      <c r="F47" s="155"/>
      <c r="G47" s="155"/>
      <c r="H47" s="155"/>
      <c r="I47" s="109"/>
      <c r="O47" s="255"/>
    </row>
    <row r="48" spans="1:15" s="143" customFormat="1">
      <c r="E48" s="254"/>
      <c r="F48" s="155"/>
      <c r="G48" s="155"/>
      <c r="H48" s="155"/>
      <c r="I48" s="109"/>
      <c r="O48" s="255"/>
    </row>
    <row r="49" spans="5:15" s="143" customFormat="1">
      <c r="E49" s="254"/>
      <c r="F49" s="155"/>
      <c r="G49" s="155"/>
      <c r="H49" s="155"/>
      <c r="I49" s="109"/>
      <c r="O49" s="255"/>
    </row>
    <row r="50" spans="5:15" s="143" customFormat="1">
      <c r="E50" s="254"/>
      <c r="F50" s="155"/>
      <c r="G50" s="155"/>
      <c r="H50" s="155"/>
      <c r="I50" s="109"/>
      <c r="O50" s="255"/>
    </row>
    <row r="51" spans="5:15" s="143" customFormat="1">
      <c r="E51" s="254"/>
      <c r="F51" s="155"/>
      <c r="G51" s="155"/>
      <c r="H51" s="155"/>
      <c r="I51" s="109"/>
      <c r="O51" s="255"/>
    </row>
    <row r="52" spans="5:15" s="143" customFormat="1">
      <c r="E52" s="254"/>
      <c r="F52" s="155"/>
      <c r="G52" s="155"/>
      <c r="H52" s="155"/>
      <c r="I52" s="109"/>
      <c r="O52" s="255"/>
    </row>
    <row r="53" spans="5:15" s="143" customFormat="1">
      <c r="E53" s="254"/>
      <c r="F53" s="155"/>
      <c r="G53" s="155"/>
      <c r="H53" s="155"/>
      <c r="I53" s="109"/>
      <c r="O53" s="255"/>
    </row>
    <row r="54" spans="5:15" s="143" customFormat="1">
      <c r="E54" s="254"/>
      <c r="F54" s="155"/>
      <c r="G54" s="155"/>
      <c r="H54" s="155"/>
      <c r="I54" s="109"/>
      <c r="O54" s="255"/>
    </row>
    <row r="55" spans="5:15" s="143" customFormat="1">
      <c r="E55" s="254"/>
      <c r="F55" s="155"/>
      <c r="G55" s="155"/>
      <c r="H55" s="155"/>
      <c r="I55" s="109"/>
      <c r="O55" s="255"/>
    </row>
    <row r="56" spans="5:15" s="143" customFormat="1">
      <c r="E56" s="254"/>
      <c r="F56" s="155"/>
      <c r="G56" s="155"/>
      <c r="H56" s="155"/>
      <c r="I56" s="109"/>
      <c r="O56" s="255"/>
    </row>
    <row r="57" spans="5:15" s="143" customFormat="1">
      <c r="E57" s="254"/>
      <c r="F57" s="155"/>
      <c r="G57" s="155"/>
      <c r="H57" s="155"/>
      <c r="I57" s="109"/>
      <c r="O57" s="255"/>
    </row>
    <row r="58" spans="5:15" s="143" customFormat="1">
      <c r="E58" s="254"/>
      <c r="F58" s="155"/>
      <c r="G58" s="155"/>
      <c r="H58" s="155"/>
      <c r="I58" s="109"/>
      <c r="O58" s="255"/>
    </row>
  </sheetData>
  <mergeCells count="2">
    <mergeCell ref="B1:C1"/>
    <mergeCell ref="F1:G1"/>
  </mergeCells>
  <pageMargins left="0.7" right="0.7" top="0.75" bottom="0.75" header="0.3" footer="0.3"/>
  <pageSetup scale="38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FC955-C6A6-4714-B8C2-19081A8D2E03}">
  <sheetPr>
    <pageSetUpPr fitToPage="1"/>
  </sheetPr>
  <dimension ref="A1:AM448"/>
  <sheetViews>
    <sheetView topLeftCell="A4" zoomScale="70" zoomScaleNormal="70" zoomScaleSheetLayoutView="90" workbookViewId="0">
      <selection activeCell="F23" sqref="F23"/>
    </sheetView>
  </sheetViews>
  <sheetFormatPr defaultColWidth="11.453125" defaultRowHeight="14"/>
  <cols>
    <col min="1" max="1" width="4.26953125" style="43" customWidth="1"/>
    <col min="2" max="2" width="58.453125" style="43" customWidth="1"/>
    <col min="3" max="3" width="22.26953125" style="43" customWidth="1"/>
    <col min="4" max="4" width="10.453125" style="43" bestFit="1" customWidth="1"/>
    <col min="5" max="5" width="12.7265625" style="43" customWidth="1"/>
    <col min="6" max="8" width="12.7265625" style="59" customWidth="1"/>
    <col min="9" max="9" width="17.453125" style="59" bestFit="1" customWidth="1"/>
    <col min="10" max="12" width="12.7265625" style="43" customWidth="1"/>
    <col min="13" max="13" width="13.453125" style="43" bestFit="1" customWidth="1"/>
    <col min="14" max="15" width="12.7265625" style="43" customWidth="1"/>
    <col min="16" max="16" width="17.7265625" style="43" bestFit="1" customWidth="1"/>
    <col min="17" max="17" width="15" style="43" bestFit="1" customWidth="1"/>
    <col min="18" max="18" width="12.7265625" style="43" customWidth="1"/>
    <col min="19" max="19" width="13" style="43" customWidth="1"/>
    <col min="20" max="20" width="16" style="43" customWidth="1"/>
    <col min="21" max="23" width="12.7265625" style="43" customWidth="1"/>
    <col min="24" max="24" width="13.453125" style="43" bestFit="1" customWidth="1"/>
    <col min="25" max="31" width="12.7265625" style="43" customWidth="1"/>
    <col min="32" max="32" width="12.7265625" style="45" customWidth="1"/>
    <col min="33" max="33" width="12.7265625" style="65" customWidth="1"/>
    <col min="34" max="34" width="15.7265625" style="43" bestFit="1" customWidth="1"/>
    <col min="35" max="37" width="21.26953125" style="43" customWidth="1"/>
    <col min="38" max="16384" width="11.453125" style="43"/>
  </cols>
  <sheetData>
    <row r="1" spans="1:39" ht="42.75" customHeight="1">
      <c r="A1" s="1"/>
      <c r="B1" s="300" t="s">
        <v>79</v>
      </c>
      <c r="C1" s="300"/>
      <c r="D1" s="2"/>
      <c r="E1" s="301" t="s">
        <v>92</v>
      </c>
      <c r="F1" s="302"/>
      <c r="G1" s="301" t="s">
        <v>0</v>
      </c>
      <c r="H1" s="302"/>
      <c r="I1" s="2"/>
      <c r="J1" s="2"/>
      <c r="Q1" s="303" t="s">
        <v>97</v>
      </c>
      <c r="R1" s="303"/>
      <c r="T1" s="2"/>
      <c r="U1" s="197"/>
      <c r="V1" s="197">
        <v>25000</v>
      </c>
      <c r="W1" s="2"/>
      <c r="X1" s="2"/>
      <c r="AF1" s="2"/>
      <c r="AG1" s="2"/>
    </row>
    <row r="2" spans="1:39" ht="23.25" customHeight="1">
      <c r="A2" s="1"/>
      <c r="B2" s="192" t="s">
        <v>134</v>
      </c>
      <c r="C2" s="164"/>
      <c r="D2" s="204"/>
      <c r="E2" s="72" t="s">
        <v>120</v>
      </c>
      <c r="F2" s="205">
        <v>300</v>
      </c>
      <c r="G2" s="72" t="str">
        <f>E2</f>
        <v>LCL</v>
      </c>
      <c r="H2" s="201">
        <f>50</f>
        <v>50</v>
      </c>
      <c r="I2" s="198">
        <f>F2+H2+T2</f>
        <v>450</v>
      </c>
      <c r="J2" s="2">
        <f>800+800+350</f>
        <v>1950</v>
      </c>
      <c r="P2" s="2"/>
      <c r="Q2" s="72" t="str">
        <f>G2</f>
        <v>LCL</v>
      </c>
      <c r="R2" s="5">
        <f>SUM(T2:T7)</f>
        <v>320</v>
      </c>
      <c r="S2" s="43" t="s">
        <v>98</v>
      </c>
      <c r="T2" s="105">
        <v>100</v>
      </c>
      <c r="U2" s="43">
        <f>(5+15+5)*1+30+20</f>
        <v>75</v>
      </c>
      <c r="AF2" s="2"/>
    </row>
    <row r="3" spans="1:39" ht="20.25" customHeight="1">
      <c r="A3" s="1"/>
      <c r="B3" s="1"/>
      <c r="C3" s="1"/>
      <c r="D3" s="2"/>
      <c r="E3" s="4" t="s">
        <v>2</v>
      </c>
      <c r="F3" s="206">
        <v>0</v>
      </c>
      <c r="G3" s="4" t="s">
        <v>2</v>
      </c>
      <c r="H3" s="5">
        <v>0</v>
      </c>
      <c r="I3" s="3"/>
      <c r="J3" s="2"/>
      <c r="P3" s="2"/>
      <c r="Q3" s="4" t="s">
        <v>2</v>
      </c>
      <c r="R3" s="5">
        <v>0</v>
      </c>
      <c r="S3" s="43" t="s">
        <v>86</v>
      </c>
      <c r="T3" s="105">
        <v>100</v>
      </c>
      <c r="AF3" s="2"/>
    </row>
    <row r="4" spans="1:39" ht="21" customHeight="1">
      <c r="A4" s="2"/>
      <c r="B4" s="195" t="s">
        <v>3</v>
      </c>
      <c r="C4" s="196">
        <f ca="1" xml:space="preserve"> NOW()</f>
        <v>46304.46345023148</v>
      </c>
      <c r="D4" s="2"/>
      <c r="E4" s="4" t="s">
        <v>4</v>
      </c>
      <c r="F4" s="5">
        <v>0</v>
      </c>
      <c r="G4" s="4" t="s">
        <v>4</v>
      </c>
      <c r="H4" s="5">
        <v>0</v>
      </c>
      <c r="I4" s="3"/>
      <c r="J4" s="2"/>
      <c r="P4" s="2"/>
      <c r="Q4" s="4" t="s">
        <v>4</v>
      </c>
      <c r="R4" s="5">
        <v>0</v>
      </c>
      <c r="S4" s="2" t="s">
        <v>93</v>
      </c>
      <c r="T4" s="105"/>
      <c r="AF4" s="2"/>
      <c r="AG4" s="2"/>
    </row>
    <row r="5" spans="1:39" ht="21.75" customHeight="1">
      <c r="A5" s="2"/>
      <c r="C5" s="162"/>
      <c r="D5" s="2"/>
      <c r="E5" s="4" t="s">
        <v>6</v>
      </c>
      <c r="F5" s="6">
        <f>K15</f>
        <v>0.9</v>
      </c>
      <c r="G5" s="4" t="s">
        <v>6</v>
      </c>
      <c r="H5" s="6">
        <f>K15</f>
        <v>0.9</v>
      </c>
      <c r="I5" s="3"/>
      <c r="J5" s="2"/>
      <c r="P5" s="2"/>
      <c r="Q5" s="4" t="s">
        <v>6</v>
      </c>
      <c r="R5" s="6">
        <f>K15</f>
        <v>0.9</v>
      </c>
      <c r="S5" s="2" t="s">
        <v>65</v>
      </c>
      <c r="T5" s="105">
        <v>70</v>
      </c>
      <c r="AF5" s="2"/>
      <c r="AG5" s="2"/>
    </row>
    <row r="6" spans="1:39" ht="28">
      <c r="A6" s="2"/>
      <c r="B6" s="8" t="s">
        <v>9</v>
      </c>
      <c r="C6" s="159" t="s">
        <v>10</v>
      </c>
      <c r="D6" s="2"/>
      <c r="E6" s="4" t="s">
        <v>7</v>
      </c>
      <c r="F6" s="6">
        <f>IF(ROUND(F4*F5,2)&gt;F2,ROUND(F4*F5,2)+F3,F2+F3)</f>
        <v>300</v>
      </c>
      <c r="G6" s="4" t="s">
        <v>7</v>
      </c>
      <c r="H6" s="6">
        <f>IF(ROUND(H4*H5,2)&gt;H2,ROUND(H4*H5,2)+H3,H2+H3)</f>
        <v>50</v>
      </c>
      <c r="I6" s="3"/>
      <c r="J6" s="2"/>
      <c r="P6" s="2"/>
      <c r="Q6" s="4" t="s">
        <v>7</v>
      </c>
      <c r="R6" s="6">
        <f>IF(ROUND(R4*R5,2)&gt;R2,ROUND(R4*R5,2)+R3,R2+R3+(R4*R5))</f>
        <v>320</v>
      </c>
      <c r="S6" s="2" t="s">
        <v>66</v>
      </c>
      <c r="T6" s="105">
        <v>30</v>
      </c>
      <c r="W6" s="2"/>
      <c r="X6" s="2"/>
      <c r="AF6" s="2"/>
      <c r="AG6" s="2"/>
    </row>
    <row r="7" spans="1:39" ht="21.75" customHeight="1">
      <c r="A7" s="2"/>
      <c r="B7" s="11" t="s">
        <v>14</v>
      </c>
      <c r="C7" s="13">
        <v>1</v>
      </c>
      <c r="D7" s="8"/>
      <c r="E7" s="4" t="s">
        <v>8</v>
      </c>
      <c r="F7" s="6">
        <f>IF(F5&gt;0,ROUND(F6/F5,2),0)</f>
        <v>333.33</v>
      </c>
      <c r="G7" s="4" t="s">
        <v>8</v>
      </c>
      <c r="H7" s="6">
        <f>IF(H5&gt;0,ROUND(H6/H5,2),0)</f>
        <v>55.56</v>
      </c>
      <c r="I7" s="3"/>
      <c r="J7" s="2"/>
      <c r="P7" s="2"/>
      <c r="Q7" s="4" t="s">
        <v>8</v>
      </c>
      <c r="R7" s="6">
        <f>IF(R5&gt;0,ROUND(R6/R5,2),0)</f>
        <v>355.56</v>
      </c>
      <c r="S7" s="2" t="s">
        <v>94</v>
      </c>
      <c r="T7" s="105">
        <v>20</v>
      </c>
      <c r="AF7" s="2"/>
      <c r="AG7" s="2"/>
    </row>
    <row r="8" spans="1:39" ht="27" customHeight="1">
      <c r="A8" s="8"/>
      <c r="E8" s="8"/>
      <c r="F8" s="8"/>
      <c r="G8" s="8"/>
      <c r="I8" s="9" t="s">
        <v>11</v>
      </c>
      <c r="J8" s="8"/>
      <c r="P8" s="2"/>
      <c r="T8" s="10" t="s">
        <v>12</v>
      </c>
      <c r="AF8" s="8"/>
      <c r="AG8" s="8"/>
    </row>
    <row r="9" spans="1:39" ht="27" customHeight="1">
      <c r="A9" s="11"/>
      <c r="B9" s="12" t="s">
        <v>13</v>
      </c>
      <c r="C9" s="193" t="s">
        <v>135</v>
      </c>
      <c r="D9" s="11"/>
      <c r="E9" s="11"/>
      <c r="F9" s="11"/>
      <c r="G9" s="11"/>
      <c r="I9" s="207">
        <v>7.4999999999999997E-3</v>
      </c>
      <c r="J9" s="11"/>
      <c r="P9" s="2"/>
      <c r="T9" s="14">
        <v>0.2</v>
      </c>
      <c r="AF9" s="11"/>
      <c r="AG9" s="11"/>
    </row>
    <row r="10" spans="1:39" ht="30.75" customHeight="1">
      <c r="A10" s="2"/>
      <c r="B10" s="15" t="s">
        <v>15</v>
      </c>
      <c r="C10" s="194" t="s">
        <v>102</v>
      </c>
      <c r="D10" s="2"/>
      <c r="E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9" ht="25.5" customHeight="1">
      <c r="A11" s="2"/>
      <c r="B11" s="15" t="s">
        <v>16</v>
      </c>
      <c r="C11" s="194" t="s">
        <v>101</v>
      </c>
      <c r="D11" s="2"/>
      <c r="E11" s="2"/>
      <c r="F11" s="3"/>
      <c r="G11" s="3"/>
      <c r="H11" s="2"/>
      <c r="I11" s="176">
        <f>$I$14*$AH$13*2</f>
        <v>228800.00000000003</v>
      </c>
      <c r="J11" s="177"/>
      <c r="K11" s="177"/>
      <c r="L11" s="177"/>
      <c r="M11" s="177"/>
      <c r="N11" s="177"/>
      <c r="O11" s="177"/>
      <c r="P11" s="176">
        <f>$I$14*$AH$13*2.5</f>
        <v>286000.00000000006</v>
      </c>
      <c r="Q11" s="176">
        <f>$I$14*$AH$13*3</f>
        <v>343200.00000000006</v>
      </c>
      <c r="T11" s="2"/>
      <c r="U11" s="2"/>
      <c r="V11" s="2"/>
      <c r="W11" s="2"/>
      <c r="X11" s="2"/>
      <c r="Y11" s="298" t="s">
        <v>17</v>
      </c>
      <c r="Z11" s="298"/>
      <c r="AA11" s="298"/>
      <c r="AB11" s="298" t="s">
        <v>18</v>
      </c>
      <c r="AC11" s="298"/>
      <c r="AD11" s="298"/>
      <c r="AE11" s="299"/>
      <c r="AF11" s="297" t="s">
        <v>45</v>
      </c>
      <c r="AG11" s="297"/>
    </row>
    <row r="12" spans="1:39" ht="48.75" customHeight="1">
      <c r="A12" s="16"/>
      <c r="B12" s="17" t="s">
        <v>19</v>
      </c>
      <c r="C12" s="17" t="s">
        <v>80</v>
      </c>
      <c r="D12" s="17" t="s">
        <v>21</v>
      </c>
      <c r="E12" s="17" t="s">
        <v>22</v>
      </c>
      <c r="F12" s="17" t="s">
        <v>23</v>
      </c>
      <c r="G12" s="17" t="s">
        <v>24</v>
      </c>
      <c r="H12" s="17" t="s">
        <v>25</v>
      </c>
      <c r="I12" s="17" t="s">
        <v>26</v>
      </c>
      <c r="J12" s="17" t="s">
        <v>27</v>
      </c>
      <c r="K12" s="17" t="s">
        <v>28</v>
      </c>
      <c r="L12" s="17" t="s">
        <v>29</v>
      </c>
      <c r="M12" s="17" t="s">
        <v>27</v>
      </c>
      <c r="N12" s="17" t="s">
        <v>30</v>
      </c>
      <c r="O12" s="17" t="s">
        <v>31</v>
      </c>
      <c r="P12" s="17" t="s">
        <v>89</v>
      </c>
      <c r="Q12" s="17" t="s">
        <v>90</v>
      </c>
      <c r="R12" s="17" t="s">
        <v>91</v>
      </c>
      <c r="S12" s="17" t="s">
        <v>32</v>
      </c>
      <c r="T12" s="17" t="s">
        <v>33</v>
      </c>
      <c r="U12" s="17" t="s">
        <v>99</v>
      </c>
      <c r="V12" s="17" t="s">
        <v>100</v>
      </c>
      <c r="W12" s="17" t="s">
        <v>1</v>
      </c>
      <c r="X12" s="17" t="s">
        <v>34</v>
      </c>
      <c r="Y12" s="17" t="s">
        <v>35</v>
      </c>
      <c r="Z12" s="17" t="s">
        <v>36</v>
      </c>
      <c r="AA12" s="17" t="s">
        <v>37</v>
      </c>
      <c r="AB12" s="17" t="s">
        <v>37</v>
      </c>
      <c r="AC12" s="17" t="s">
        <v>35</v>
      </c>
      <c r="AD12" s="17" t="s">
        <v>38</v>
      </c>
      <c r="AE12" s="184" t="s">
        <v>39</v>
      </c>
      <c r="AF12" s="67">
        <v>0.05</v>
      </c>
      <c r="AG12" s="70" t="s">
        <v>46</v>
      </c>
      <c r="AH12" s="30"/>
    </row>
    <row r="13" spans="1:39" s="44" customFormat="1">
      <c r="A13" s="86"/>
      <c r="B13" s="18"/>
      <c r="C13" s="18"/>
      <c r="D13" s="20"/>
      <c r="E13" s="21"/>
      <c r="F13" s="19"/>
      <c r="G13" s="22"/>
      <c r="H13" s="19"/>
      <c r="I13" s="22"/>
      <c r="J13" s="22"/>
      <c r="K13" s="22"/>
      <c r="L13" s="22"/>
      <c r="M13" s="22"/>
      <c r="N13" s="23"/>
      <c r="O13" s="23"/>
      <c r="P13" s="23"/>
      <c r="Q13" s="20"/>
      <c r="R13" s="23"/>
      <c r="S13" s="20"/>
      <c r="T13" s="23"/>
      <c r="U13" s="20"/>
      <c r="V13" s="23"/>
      <c r="W13" s="23"/>
      <c r="X13" s="23"/>
      <c r="Y13" s="23"/>
      <c r="Z13" s="23"/>
      <c r="AA13" s="23"/>
      <c r="AB13" s="182"/>
      <c r="AC13" s="23"/>
      <c r="AD13" s="23"/>
      <c r="AE13" s="185"/>
      <c r="AF13" s="187"/>
      <c r="AG13" s="188"/>
      <c r="AH13" s="224">
        <v>26000</v>
      </c>
      <c r="AI13" s="190"/>
      <c r="AJ13" s="190"/>
      <c r="AK13" s="190"/>
      <c r="AL13" s="190"/>
      <c r="AM13" s="190"/>
    </row>
    <row r="14" spans="1:39" s="69" customFormat="1" ht="189.75" customHeight="1">
      <c r="A14" s="24">
        <v>1</v>
      </c>
      <c r="B14" s="103" t="s">
        <v>136</v>
      </c>
      <c r="C14" s="158"/>
      <c r="D14" s="26">
        <f>F18</f>
        <v>4.5038888888888889E-3</v>
      </c>
      <c r="E14" s="68">
        <v>200</v>
      </c>
      <c r="F14" s="225">
        <v>4.4000000000000004</v>
      </c>
      <c r="G14" s="25">
        <f>F14*$C$7</f>
        <v>4.4000000000000004</v>
      </c>
      <c r="H14" s="209">
        <v>0</v>
      </c>
      <c r="I14" s="25">
        <f>ROUND(G14*(1-H14),2)</f>
        <v>4.4000000000000004</v>
      </c>
      <c r="J14" s="25">
        <f>ROUND(E14*I14,2)</f>
        <v>880</v>
      </c>
      <c r="K14" s="25">
        <f>ROUND(E14*D14,2)</f>
        <v>0.9</v>
      </c>
      <c r="L14" s="25">
        <f>ROUND(K14*F$7,2)</f>
        <v>300</v>
      </c>
      <c r="M14" s="25">
        <f>SUM(J14,L14)</f>
        <v>1180</v>
      </c>
      <c r="N14" s="25">
        <f>ROUND(K14*H$7,2)</f>
        <v>50</v>
      </c>
      <c r="O14" s="25">
        <f>ROUND((M14+N14)*$I$9,2)</f>
        <v>9.23</v>
      </c>
      <c r="P14" s="25">
        <f>SUM(M14:O14)</f>
        <v>1239.23</v>
      </c>
      <c r="Q14" s="210">
        <v>0</v>
      </c>
      <c r="R14" s="25">
        <f>ROUND(P14/(1-Q14),2)</f>
        <v>1239.23</v>
      </c>
      <c r="S14" s="157">
        <v>0</v>
      </c>
      <c r="T14" s="25">
        <f>ROUND(R14*S14,2)</f>
        <v>0</v>
      </c>
      <c r="U14" s="157">
        <v>0</v>
      </c>
      <c r="V14" s="25">
        <f>ROUND((T14+R14)*U14,2)</f>
        <v>0</v>
      </c>
      <c r="W14" s="25">
        <f>ROUND(K14*R$7,2)</f>
        <v>320</v>
      </c>
      <c r="X14" s="25">
        <f>SUM(R14,T14,V14,W14)</f>
        <v>1559.23</v>
      </c>
      <c r="Y14" s="25">
        <f>ROUND(X14/(1-T$9),2)</f>
        <v>1949.04</v>
      </c>
      <c r="Z14" s="25">
        <f>Y14-X14</f>
        <v>389.80999999999995</v>
      </c>
      <c r="AA14" s="25">
        <f>IF(E14&gt;0,ROUND(Y14/E14,2),"NA")</f>
        <v>9.75</v>
      </c>
      <c r="AB14" s="85">
        <f>AA14</f>
        <v>9.75</v>
      </c>
      <c r="AC14" s="41">
        <f>ROUND(E14*AB14,2)</f>
        <v>1950</v>
      </c>
      <c r="AD14" s="211">
        <f>AC14-X14</f>
        <v>390.77</v>
      </c>
      <c r="AE14" s="212">
        <f>IF(AC14&gt;0,AD14/AC14,"NA")</f>
        <v>0.20039487179487178</v>
      </c>
      <c r="AF14" s="213">
        <f>AC14*5%*70%</f>
        <v>68.25</v>
      </c>
      <c r="AG14" s="214">
        <f>AD14-AF14</f>
        <v>322.52</v>
      </c>
      <c r="AH14" s="226">
        <f>ROUND(AB14*$AH$13,-3)</f>
        <v>254000</v>
      </c>
      <c r="AI14" s="215"/>
      <c r="AJ14" s="215"/>
      <c r="AK14" s="215"/>
      <c r="AL14" s="215"/>
      <c r="AM14" s="215"/>
    </row>
    <row r="15" spans="1:39" s="45" customFormat="1" ht="21" customHeight="1" thickBot="1">
      <c r="A15" s="27"/>
      <c r="B15" s="87" t="s">
        <v>53</v>
      </c>
      <c r="C15" s="87"/>
      <c r="D15" s="29"/>
      <c r="E15" s="28">
        <f>SUM(E14:E14)</f>
        <v>200</v>
      </c>
      <c r="F15" s="28"/>
      <c r="G15" s="28"/>
      <c r="H15" s="28"/>
      <c r="I15" s="28"/>
      <c r="J15" s="28">
        <f t="shared" ref="J15:P15" si="0">SUM(J14:J14)</f>
        <v>880</v>
      </c>
      <c r="K15" s="28">
        <f t="shared" si="0"/>
        <v>0.9</v>
      </c>
      <c r="L15" s="28">
        <f t="shared" si="0"/>
        <v>300</v>
      </c>
      <c r="M15" s="61">
        <f t="shared" si="0"/>
        <v>1180</v>
      </c>
      <c r="N15" s="28">
        <f t="shared" si="0"/>
        <v>50</v>
      </c>
      <c r="O15" s="28">
        <f t="shared" si="0"/>
        <v>9.23</v>
      </c>
      <c r="P15" s="61">
        <f t="shared" si="0"/>
        <v>1239.23</v>
      </c>
      <c r="Q15" s="28"/>
      <c r="R15" s="61">
        <f>SUM(R14:R14)</f>
        <v>1239.23</v>
      </c>
      <c r="S15" s="28"/>
      <c r="T15" s="61">
        <f>SUM(T14:T14)</f>
        <v>0</v>
      </c>
      <c r="U15" s="28"/>
      <c r="V15" s="28">
        <f>SUM(V14:V14)</f>
        <v>0</v>
      </c>
      <c r="W15" s="61">
        <f>SUM(W14:W14)</f>
        <v>320</v>
      </c>
      <c r="X15" s="61">
        <f>SUM(X14:X14)</f>
        <v>1559.23</v>
      </c>
      <c r="Y15" s="28">
        <f>SUM(Y14:Y14)</f>
        <v>1949.04</v>
      </c>
      <c r="Z15" s="28">
        <f>SUM(Z14:Z14)</f>
        <v>389.80999999999995</v>
      </c>
      <c r="AA15" s="28"/>
      <c r="AB15" s="28"/>
      <c r="AC15" s="28">
        <f>SUM(AC14:AC14)</f>
        <v>1950</v>
      </c>
      <c r="AD15" s="28">
        <f>SUM(AD14:AD14)</f>
        <v>390.77</v>
      </c>
      <c r="AE15" s="183">
        <f>SUM(AE14:AE14)</f>
        <v>0.20039487179487178</v>
      </c>
      <c r="AF15" s="17">
        <f>SUM(AF14:AF14)</f>
        <v>68.25</v>
      </c>
      <c r="AG15" s="189">
        <f>SUM(AG14:AG14)</f>
        <v>322.52</v>
      </c>
      <c r="AI15" s="71"/>
      <c r="AJ15" s="71"/>
      <c r="AK15" s="71"/>
    </row>
    <row r="16" spans="1:39" ht="19.5" customHeight="1" thickBot="1">
      <c r="A16" s="30"/>
      <c r="B16" s="30" t="s">
        <v>40</v>
      </c>
      <c r="C16" s="30"/>
      <c r="D16" s="30"/>
      <c r="E16" s="31"/>
      <c r="F16" s="32"/>
      <c r="G16" s="32"/>
      <c r="H16" s="32"/>
      <c r="I16" s="32"/>
      <c r="J16" s="32"/>
      <c r="K16" s="32"/>
      <c r="L16" s="32"/>
      <c r="M16" s="62">
        <f>SUM(J15,L15)</f>
        <v>1180</v>
      </c>
      <c r="N16" s="62"/>
      <c r="O16" s="62"/>
      <c r="P16" s="62">
        <f>SUM(M15,N15,O15)</f>
        <v>1239.23</v>
      </c>
      <c r="Q16" s="62"/>
      <c r="R16" s="62">
        <f>SUM(M15,N15,O15)</f>
        <v>1239.23</v>
      </c>
      <c r="S16" s="62"/>
      <c r="T16" s="62"/>
      <c r="U16" s="62"/>
      <c r="V16" s="62"/>
      <c r="W16" s="62"/>
      <c r="X16" s="62">
        <f>SUM(R15,T15,W15,V15)</f>
        <v>1559.23</v>
      </c>
      <c r="Y16" s="62"/>
      <c r="Z16" s="62">
        <f>Y15-X15</f>
        <v>389.80999999999995</v>
      </c>
      <c r="AA16" s="62"/>
      <c r="AB16" s="63"/>
      <c r="AC16" s="64"/>
      <c r="AD16" s="64">
        <f>AC15-X15</f>
        <v>390.77</v>
      </c>
      <c r="AE16" s="46"/>
      <c r="AF16" s="178"/>
      <c r="AG16" s="216">
        <f>AG15/AC15</f>
        <v>0.16539487179487178</v>
      </c>
    </row>
    <row r="17" spans="1:33">
      <c r="A17" s="1"/>
      <c r="B17" s="7"/>
      <c r="C17" s="1"/>
      <c r="D17" s="1"/>
      <c r="E17" s="33"/>
      <c r="F17" s="34"/>
      <c r="G17" s="34"/>
      <c r="H17" s="34"/>
      <c r="I17" s="34"/>
      <c r="J17" s="165"/>
      <c r="K17" s="33"/>
      <c r="L17" s="33"/>
      <c r="M17" s="33"/>
      <c r="N17" s="165"/>
      <c r="O17" s="35"/>
      <c r="P17" s="35"/>
      <c r="Q17" s="35"/>
      <c r="R17" s="35"/>
      <c r="S17" s="35"/>
      <c r="T17" s="35"/>
      <c r="U17" s="35"/>
      <c r="V17" s="35"/>
      <c r="W17" s="35"/>
      <c r="X17" s="35">
        <f>X16/E15</f>
        <v>7.7961499999999999</v>
      </c>
      <c r="Y17" s="33"/>
      <c r="Z17" s="217">
        <f>IF(Y15&gt;0,Z16/Y15,"NA")</f>
        <v>0.2000010261462053</v>
      </c>
      <c r="AA17" s="33"/>
      <c r="AB17" s="45"/>
    </row>
    <row r="18" spans="1:33" s="45" customFormat="1">
      <c r="A18" s="7"/>
      <c r="B18" s="227" t="s">
        <v>137</v>
      </c>
      <c r="C18" s="7"/>
      <c r="D18" s="7"/>
      <c r="E18" s="7">
        <f>0.605*0.4*0.335</f>
        <v>8.1070000000000003E-2</v>
      </c>
      <c r="F18" s="36">
        <f>E18/18</f>
        <v>4.5038888888888889E-3</v>
      </c>
      <c r="G18" s="36"/>
      <c r="H18" s="172"/>
      <c r="I18" s="166"/>
      <c r="J18" s="166"/>
      <c r="K18" s="166"/>
      <c r="L18" s="166"/>
      <c r="M18" s="166"/>
      <c r="N18" s="166"/>
      <c r="O18" s="166"/>
      <c r="P18" s="167">
        <f>AH13</f>
        <v>26000</v>
      </c>
      <c r="R18" s="218"/>
      <c r="S18" s="7"/>
      <c r="T18" s="218">
        <f>AD16/AC15</f>
        <v>0.20039487179487178</v>
      </c>
      <c r="U18" s="7"/>
      <c r="V18" s="7"/>
      <c r="W18" s="218"/>
    </row>
    <row r="19" spans="1:33" s="45" customFormat="1" ht="18.75" customHeight="1">
      <c r="A19" s="7"/>
      <c r="B19" s="7"/>
      <c r="C19" s="7"/>
      <c r="D19" s="7"/>
      <c r="E19" s="7"/>
      <c r="F19" s="36"/>
      <c r="G19" s="36"/>
      <c r="H19" s="173" t="s">
        <v>83</v>
      </c>
      <c r="I19" s="168">
        <f>T15</f>
        <v>0</v>
      </c>
      <c r="J19" s="15"/>
      <c r="K19" s="15"/>
      <c r="L19" s="15"/>
      <c r="M19" s="15"/>
      <c r="N19" s="15"/>
      <c r="O19" s="15"/>
      <c r="P19" s="169">
        <f>I19*$P$18</f>
        <v>0</v>
      </c>
      <c r="R19" s="45" t="s">
        <v>49</v>
      </c>
      <c r="S19" s="37"/>
      <c r="T19" s="47">
        <f>SUM(R15,T15,W15,AF15)</f>
        <v>1627.48</v>
      </c>
      <c r="U19" s="38"/>
    </row>
    <row r="20" spans="1:33" s="45" customFormat="1" ht="15" customHeight="1">
      <c r="A20" s="7"/>
      <c r="B20" s="7"/>
      <c r="C20" s="7"/>
      <c r="D20" s="7"/>
      <c r="E20" s="7"/>
      <c r="F20" s="39"/>
      <c r="G20" s="39"/>
      <c r="H20" s="173" t="s">
        <v>84</v>
      </c>
      <c r="I20" s="168">
        <f>V15</f>
        <v>0</v>
      </c>
      <c r="J20" s="15"/>
      <c r="K20" s="15"/>
      <c r="L20" s="15"/>
      <c r="M20" s="15"/>
      <c r="N20" s="15"/>
      <c r="O20" s="15"/>
      <c r="P20" s="169">
        <f>I20*$P$18</f>
        <v>0</v>
      </c>
      <c r="R20" s="45" t="s">
        <v>50</v>
      </c>
      <c r="S20" s="40"/>
      <c r="T20" s="47">
        <f>AC15-T19</f>
        <v>322.52</v>
      </c>
      <c r="U20" s="33"/>
    </row>
    <row r="21" spans="1:33" s="45" customFormat="1" ht="18.75" customHeight="1">
      <c r="A21" s="43"/>
      <c r="B21" s="43"/>
      <c r="F21" s="48"/>
      <c r="G21" s="48"/>
      <c r="H21" s="174" t="s">
        <v>85</v>
      </c>
      <c r="I21" s="72">
        <f>(R15+I19+I20)*10%</f>
        <v>123.923</v>
      </c>
      <c r="J21" s="170"/>
      <c r="K21" s="15"/>
      <c r="L21" s="15"/>
      <c r="M21" s="15"/>
      <c r="N21" s="15"/>
      <c r="O21" s="15"/>
      <c r="P21" s="169">
        <f>I21*$P$18</f>
        <v>3221998</v>
      </c>
      <c r="R21" s="45" t="s">
        <v>51</v>
      </c>
      <c r="S21" s="50"/>
      <c r="T21" s="219">
        <f>T20/AC15</f>
        <v>0.16539487179487178</v>
      </c>
      <c r="U21" s="51"/>
    </row>
    <row r="22" spans="1:33" s="45" customFormat="1">
      <c r="B22" s="7"/>
      <c r="F22" s="48"/>
      <c r="G22" s="48"/>
      <c r="H22" s="175"/>
      <c r="I22" s="166"/>
      <c r="J22" s="171"/>
      <c r="K22" s="166"/>
      <c r="L22" s="166"/>
      <c r="M22" s="166"/>
      <c r="N22" s="166"/>
      <c r="O22" s="166"/>
      <c r="P22" s="199">
        <f>SUM(P19:P21)</f>
        <v>3221998</v>
      </c>
      <c r="S22" s="50"/>
      <c r="T22" s="47"/>
      <c r="U22" s="52"/>
      <c r="AG22" s="66"/>
    </row>
    <row r="23" spans="1:33" s="45" customFormat="1">
      <c r="B23" s="43"/>
      <c r="C23" s="43"/>
      <c r="D23" s="53"/>
      <c r="E23" s="53"/>
      <c r="F23" s="48"/>
      <c r="G23" s="48"/>
      <c r="H23" s="48"/>
      <c r="I23" s="48"/>
      <c r="J23" s="49"/>
      <c r="R23" s="45" t="s">
        <v>52</v>
      </c>
      <c r="T23" s="54">
        <f>ROUND(T20*U23,2)</f>
        <v>64.5</v>
      </c>
      <c r="U23" s="220">
        <v>0.2</v>
      </c>
    </row>
    <row r="24" spans="1:33" s="45" customFormat="1">
      <c r="A24" s="43"/>
      <c r="C24" s="43"/>
      <c r="D24" s="53"/>
      <c r="E24" s="53"/>
      <c r="F24" s="48"/>
      <c r="G24" s="48"/>
      <c r="H24" s="296" t="s">
        <v>47</v>
      </c>
      <c r="I24" s="296"/>
      <c r="J24" s="171"/>
      <c r="K24" s="166"/>
      <c r="L24" s="166"/>
      <c r="M24" s="166"/>
      <c r="N24" s="166"/>
      <c r="O24" s="166"/>
      <c r="P24" s="221">
        <v>0</v>
      </c>
      <c r="R24" s="45" t="s">
        <v>41</v>
      </c>
      <c r="T24" s="47">
        <f>T20+T22-T23</f>
        <v>258.02</v>
      </c>
      <c r="V24" s="55"/>
    </row>
    <row r="25" spans="1:33" s="45" customFormat="1">
      <c r="A25" s="43"/>
      <c r="B25" s="7"/>
      <c r="C25" s="43"/>
      <c r="D25" s="53"/>
      <c r="E25" s="53"/>
      <c r="F25" s="48"/>
      <c r="G25" s="48"/>
      <c r="H25" s="296" t="s">
        <v>43</v>
      </c>
      <c r="I25" s="296"/>
      <c r="J25" s="171"/>
      <c r="K25" s="166"/>
      <c r="L25" s="166"/>
      <c r="M25" s="166"/>
      <c r="N25" s="180"/>
      <c r="O25" s="181"/>
      <c r="P25" s="42">
        <f>AG15-P24</f>
        <v>322.52</v>
      </c>
      <c r="Q25" s="43"/>
      <c r="R25" s="45" t="s">
        <v>42</v>
      </c>
      <c r="T25" s="219">
        <f>T24/AC15</f>
        <v>0.13231794871794872</v>
      </c>
      <c r="V25" s="43"/>
    </row>
    <row r="26" spans="1:33" s="45" customFormat="1">
      <c r="A26" s="43"/>
      <c r="B26" s="43"/>
      <c r="C26" s="43"/>
      <c r="D26" s="53"/>
      <c r="E26" s="53"/>
      <c r="F26" s="48"/>
      <c r="G26" s="48"/>
      <c r="H26" s="296" t="s">
        <v>44</v>
      </c>
      <c r="I26" s="296"/>
      <c r="J26" s="171"/>
      <c r="K26" s="166"/>
      <c r="L26" s="166"/>
      <c r="M26" s="166"/>
      <c r="N26" s="171"/>
      <c r="O26" s="166"/>
      <c r="P26" s="222">
        <f>P25/AC15</f>
        <v>0.16539487179487178</v>
      </c>
      <c r="AG26" s="66"/>
    </row>
    <row r="27" spans="1:33" s="45" customFormat="1">
      <c r="C27" s="43"/>
      <c r="D27" s="53"/>
      <c r="E27" s="53"/>
      <c r="F27" s="48"/>
      <c r="G27" s="48"/>
      <c r="H27" s="48"/>
      <c r="I27" s="48"/>
      <c r="J27" s="49"/>
      <c r="N27" s="49"/>
      <c r="AG27" s="66"/>
    </row>
    <row r="28" spans="1:33" s="45" customFormat="1">
      <c r="A28" s="43"/>
      <c r="C28" s="43"/>
      <c r="D28" s="53"/>
      <c r="E28" s="53"/>
      <c r="F28" s="48"/>
      <c r="G28" s="48"/>
      <c r="H28" s="48"/>
      <c r="I28" s="48"/>
      <c r="J28" s="49"/>
      <c r="N28" s="49"/>
    </row>
    <row r="29" spans="1:33" s="45" customFormat="1">
      <c r="A29" s="56"/>
      <c r="B29" s="43"/>
      <c r="C29" s="56"/>
      <c r="D29" s="43"/>
      <c r="E29" s="43"/>
      <c r="F29" s="48"/>
      <c r="G29" s="48"/>
      <c r="H29" s="48"/>
      <c r="I29" s="48"/>
      <c r="J29" s="49"/>
      <c r="N29" s="49"/>
    </row>
    <row r="30" spans="1:33" s="45" customFormat="1">
      <c r="B30" s="43"/>
      <c r="C30" s="43"/>
      <c r="D30" s="53"/>
      <c r="E30" s="53"/>
      <c r="F30" s="48"/>
      <c r="G30" s="48"/>
      <c r="H30" s="48"/>
      <c r="I30" s="48"/>
      <c r="J30" s="49"/>
      <c r="N30" s="49"/>
    </row>
    <row r="31" spans="1:33" s="45" customFormat="1">
      <c r="B31" s="43"/>
      <c r="C31" s="43"/>
      <c r="D31" s="57"/>
      <c r="E31" s="57"/>
      <c r="F31" s="48"/>
      <c r="G31" s="48"/>
      <c r="H31" s="48"/>
      <c r="I31" s="48"/>
      <c r="J31" s="49"/>
      <c r="N31" s="49"/>
    </row>
    <row r="32" spans="1:33" s="45" customFormat="1">
      <c r="A32" s="43"/>
      <c r="C32" s="43"/>
      <c r="D32" s="43"/>
      <c r="E32" s="43"/>
      <c r="F32" s="48"/>
      <c r="G32" s="48"/>
      <c r="H32" s="48"/>
      <c r="I32" s="48"/>
      <c r="J32" s="49"/>
      <c r="N32" s="49"/>
    </row>
    <row r="33" spans="1:33" s="45" customFormat="1">
      <c r="A33" s="43"/>
      <c r="B33" s="43"/>
      <c r="F33" s="58"/>
      <c r="G33" s="58"/>
      <c r="H33" s="58"/>
      <c r="I33" s="58"/>
      <c r="N33" s="49"/>
    </row>
    <row r="34" spans="1:33" s="45" customFormat="1">
      <c r="B34" s="56"/>
      <c r="F34" s="58"/>
      <c r="G34" s="58"/>
      <c r="H34" s="58"/>
      <c r="I34" s="58"/>
      <c r="N34" s="49"/>
    </row>
    <row r="35" spans="1:33" s="45" customFormat="1">
      <c r="F35" s="58"/>
      <c r="G35" s="58"/>
      <c r="H35" s="58"/>
      <c r="I35" s="58"/>
      <c r="N35" s="49"/>
      <c r="AG35" s="66"/>
    </row>
    <row r="36" spans="1:33" s="45" customFormat="1">
      <c r="F36" s="58"/>
      <c r="G36" s="58"/>
      <c r="H36" s="58"/>
      <c r="I36" s="58"/>
      <c r="N36" s="49"/>
      <c r="AG36" s="66"/>
    </row>
    <row r="37" spans="1:33" s="45" customFormat="1">
      <c r="B37" s="43"/>
      <c r="F37" s="58"/>
      <c r="G37" s="58"/>
      <c r="H37" s="58"/>
      <c r="I37" s="58"/>
      <c r="N37" s="49"/>
      <c r="AG37" s="66"/>
    </row>
    <row r="38" spans="1:33" s="45" customFormat="1">
      <c r="B38" s="43"/>
      <c r="F38" s="58"/>
      <c r="G38" s="58"/>
      <c r="H38" s="58"/>
      <c r="I38" s="58"/>
      <c r="N38" s="49"/>
      <c r="AG38" s="66"/>
    </row>
    <row r="39" spans="1:33" s="45" customFormat="1">
      <c r="F39" s="58"/>
      <c r="G39" s="58"/>
      <c r="H39" s="58"/>
      <c r="I39" s="58"/>
      <c r="N39" s="49"/>
      <c r="AG39" s="66"/>
    </row>
    <row r="40" spans="1:33" s="45" customFormat="1">
      <c r="F40" s="58"/>
      <c r="G40" s="58"/>
      <c r="H40" s="58"/>
      <c r="I40" s="58"/>
      <c r="N40" s="49"/>
      <c r="AG40" s="66"/>
    </row>
    <row r="41" spans="1:33" s="45" customFormat="1">
      <c r="F41" s="58"/>
      <c r="G41" s="58"/>
      <c r="H41" s="58"/>
      <c r="I41" s="58"/>
      <c r="N41" s="49"/>
      <c r="AG41" s="66"/>
    </row>
    <row r="42" spans="1:33" s="45" customFormat="1">
      <c r="F42" s="58"/>
      <c r="G42" s="58"/>
      <c r="H42" s="58"/>
      <c r="I42" s="58"/>
      <c r="N42" s="49"/>
      <c r="AG42" s="66"/>
    </row>
    <row r="43" spans="1:33" s="45" customFormat="1">
      <c r="F43" s="58"/>
      <c r="G43" s="58"/>
      <c r="H43" s="58"/>
      <c r="I43" s="58"/>
      <c r="N43" s="49"/>
      <c r="AG43" s="66"/>
    </row>
    <row r="44" spans="1:33" s="45" customFormat="1">
      <c r="F44" s="58"/>
      <c r="G44" s="58"/>
      <c r="H44" s="58"/>
      <c r="I44" s="58"/>
      <c r="N44" s="49"/>
      <c r="AG44" s="66"/>
    </row>
    <row r="45" spans="1:33" s="45" customFormat="1">
      <c r="F45" s="58"/>
      <c r="G45" s="58"/>
      <c r="H45" s="58"/>
      <c r="I45" s="58"/>
      <c r="N45" s="49"/>
      <c r="AG45" s="66"/>
    </row>
    <row r="46" spans="1:33" s="45" customFormat="1">
      <c r="F46" s="58"/>
      <c r="G46" s="58"/>
      <c r="H46" s="58"/>
      <c r="I46" s="58"/>
      <c r="N46" s="49"/>
      <c r="AG46" s="66"/>
    </row>
    <row r="47" spans="1:33" s="45" customFormat="1">
      <c r="F47" s="58"/>
      <c r="G47" s="58"/>
      <c r="H47" s="58"/>
      <c r="I47" s="58"/>
      <c r="N47" s="49"/>
      <c r="AG47" s="66"/>
    </row>
    <row r="48" spans="1:33" s="45" customFormat="1">
      <c r="F48" s="58"/>
      <c r="G48" s="58"/>
      <c r="H48" s="58"/>
      <c r="I48" s="58"/>
      <c r="N48" s="49"/>
      <c r="AG48" s="66"/>
    </row>
    <row r="49" spans="6:33" s="45" customFormat="1">
      <c r="F49" s="58"/>
      <c r="G49" s="58"/>
      <c r="H49" s="58"/>
      <c r="I49" s="58"/>
      <c r="N49" s="49"/>
      <c r="AG49" s="66"/>
    </row>
    <row r="50" spans="6:33" s="45" customFormat="1">
      <c r="F50" s="58"/>
      <c r="G50" s="58"/>
      <c r="H50" s="58"/>
      <c r="I50" s="58"/>
      <c r="N50" s="49"/>
      <c r="AG50" s="66"/>
    </row>
    <row r="51" spans="6:33" s="45" customFormat="1">
      <c r="F51" s="58"/>
      <c r="G51" s="58"/>
      <c r="H51" s="58"/>
      <c r="I51" s="58"/>
      <c r="N51" s="49"/>
      <c r="AG51" s="66"/>
    </row>
    <row r="52" spans="6:33" s="45" customFormat="1">
      <c r="F52" s="58"/>
      <c r="G52" s="58"/>
      <c r="H52" s="58"/>
      <c r="I52" s="58"/>
      <c r="N52" s="49"/>
      <c r="AG52" s="66"/>
    </row>
    <row r="53" spans="6:33" s="45" customFormat="1">
      <c r="F53" s="58"/>
      <c r="G53" s="58"/>
      <c r="H53" s="58"/>
      <c r="I53" s="58"/>
      <c r="N53" s="49"/>
      <c r="AG53" s="66"/>
    </row>
    <row r="54" spans="6:33" s="45" customFormat="1">
      <c r="F54" s="58"/>
      <c r="G54" s="58"/>
      <c r="H54" s="58"/>
      <c r="I54" s="58"/>
      <c r="N54" s="49"/>
      <c r="AG54" s="66"/>
    </row>
    <row r="55" spans="6:33" s="45" customFormat="1">
      <c r="F55" s="58"/>
      <c r="G55" s="58"/>
      <c r="H55" s="58"/>
      <c r="I55" s="58"/>
      <c r="N55" s="49"/>
      <c r="AG55" s="66"/>
    </row>
    <row r="56" spans="6:33">
      <c r="N56" s="60"/>
    </row>
    <row r="57" spans="6:33">
      <c r="N57" s="60"/>
    </row>
    <row r="58" spans="6:33">
      <c r="N58" s="60"/>
    </row>
    <row r="59" spans="6:33">
      <c r="N59" s="60"/>
    </row>
    <row r="60" spans="6:33">
      <c r="N60" s="60"/>
    </row>
    <row r="61" spans="6:33">
      <c r="N61" s="60"/>
    </row>
    <row r="62" spans="6:33">
      <c r="N62" s="60"/>
    </row>
    <row r="63" spans="6:33">
      <c r="N63" s="60"/>
    </row>
    <row r="64" spans="6:33">
      <c r="N64" s="60"/>
    </row>
    <row r="65" spans="14:14">
      <c r="N65" s="60"/>
    </row>
    <row r="66" spans="14:14">
      <c r="N66" s="60"/>
    </row>
    <row r="67" spans="14:14">
      <c r="N67" s="60"/>
    </row>
    <row r="68" spans="14:14">
      <c r="N68" s="60"/>
    </row>
    <row r="69" spans="14:14">
      <c r="N69" s="60"/>
    </row>
    <row r="70" spans="14:14">
      <c r="N70" s="60"/>
    </row>
    <row r="71" spans="14:14">
      <c r="N71" s="60"/>
    </row>
    <row r="72" spans="14:14">
      <c r="N72" s="60"/>
    </row>
    <row r="73" spans="14:14">
      <c r="N73" s="60"/>
    </row>
    <row r="74" spans="14:14">
      <c r="N74" s="60"/>
    </row>
    <row r="75" spans="14:14">
      <c r="N75" s="60"/>
    </row>
    <row r="76" spans="14:14">
      <c r="N76" s="60"/>
    </row>
    <row r="77" spans="14:14">
      <c r="N77" s="60"/>
    </row>
    <row r="78" spans="14:14">
      <c r="N78" s="60"/>
    </row>
    <row r="79" spans="14:14">
      <c r="N79" s="60"/>
    </row>
    <row r="80" spans="14:14">
      <c r="N80" s="60"/>
    </row>
    <row r="81" spans="14:14">
      <c r="N81" s="60"/>
    </row>
    <row r="82" spans="14:14">
      <c r="N82" s="60"/>
    </row>
    <row r="83" spans="14:14">
      <c r="N83" s="60"/>
    </row>
    <row r="84" spans="14:14">
      <c r="N84" s="60"/>
    </row>
    <row r="85" spans="14:14">
      <c r="N85" s="60"/>
    </row>
    <row r="86" spans="14:14">
      <c r="N86" s="60"/>
    </row>
    <row r="87" spans="14:14">
      <c r="N87" s="60"/>
    </row>
    <row r="88" spans="14:14">
      <c r="N88" s="60"/>
    </row>
    <row r="89" spans="14:14">
      <c r="N89" s="60"/>
    </row>
    <row r="90" spans="14:14">
      <c r="N90" s="60"/>
    </row>
    <row r="91" spans="14:14">
      <c r="N91" s="60"/>
    </row>
    <row r="92" spans="14:14">
      <c r="N92" s="60"/>
    </row>
    <row r="93" spans="14:14">
      <c r="N93" s="60"/>
    </row>
    <row r="94" spans="14:14">
      <c r="N94" s="60"/>
    </row>
    <row r="95" spans="14:14">
      <c r="N95" s="60"/>
    </row>
    <row r="96" spans="14:14">
      <c r="N96" s="60"/>
    </row>
    <row r="97" spans="14:14">
      <c r="N97" s="60"/>
    </row>
    <row r="98" spans="14:14">
      <c r="N98" s="60"/>
    </row>
    <row r="99" spans="14:14">
      <c r="N99" s="60"/>
    </row>
    <row r="100" spans="14:14">
      <c r="N100" s="60"/>
    </row>
    <row r="101" spans="14:14">
      <c r="N101" s="60"/>
    </row>
    <row r="102" spans="14:14">
      <c r="N102" s="60"/>
    </row>
    <row r="103" spans="14:14">
      <c r="N103" s="60"/>
    </row>
    <row r="104" spans="14:14">
      <c r="N104" s="60"/>
    </row>
    <row r="105" spans="14:14">
      <c r="N105" s="60"/>
    </row>
    <row r="106" spans="14:14">
      <c r="N106" s="60"/>
    </row>
    <row r="107" spans="14:14">
      <c r="N107" s="60"/>
    </row>
    <row r="108" spans="14:14">
      <c r="N108" s="60"/>
    </row>
    <row r="109" spans="14:14">
      <c r="N109" s="60"/>
    </row>
    <row r="110" spans="14:14">
      <c r="N110" s="60"/>
    </row>
    <row r="111" spans="14:14">
      <c r="N111" s="60"/>
    </row>
    <row r="112" spans="14:14">
      <c r="N112" s="60"/>
    </row>
    <row r="113" spans="14:14">
      <c r="N113" s="60"/>
    </row>
    <row r="114" spans="14:14">
      <c r="N114" s="60"/>
    </row>
    <row r="115" spans="14:14">
      <c r="N115" s="60"/>
    </row>
    <row r="116" spans="14:14">
      <c r="N116" s="60"/>
    </row>
    <row r="117" spans="14:14">
      <c r="N117" s="60"/>
    </row>
    <row r="118" spans="14:14">
      <c r="N118" s="60"/>
    </row>
    <row r="119" spans="14:14">
      <c r="N119" s="60"/>
    </row>
    <row r="120" spans="14:14">
      <c r="N120" s="60"/>
    </row>
    <row r="121" spans="14:14">
      <c r="N121" s="60"/>
    </row>
    <row r="122" spans="14:14">
      <c r="N122" s="60"/>
    </row>
    <row r="123" spans="14:14">
      <c r="N123" s="60"/>
    </row>
    <row r="124" spans="14:14">
      <c r="N124" s="60"/>
    </row>
    <row r="125" spans="14:14">
      <c r="N125" s="60"/>
    </row>
    <row r="126" spans="14:14">
      <c r="N126" s="60"/>
    </row>
    <row r="127" spans="14:14">
      <c r="N127" s="60"/>
    </row>
    <row r="128" spans="14:14">
      <c r="N128" s="60"/>
    </row>
    <row r="129" spans="14:14">
      <c r="N129" s="60"/>
    </row>
    <row r="130" spans="14:14">
      <c r="N130" s="60"/>
    </row>
    <row r="131" spans="14:14">
      <c r="N131" s="60"/>
    </row>
    <row r="132" spans="14:14">
      <c r="N132" s="60"/>
    </row>
    <row r="133" spans="14:14">
      <c r="N133" s="60"/>
    </row>
    <row r="134" spans="14:14">
      <c r="N134" s="60"/>
    </row>
    <row r="135" spans="14:14">
      <c r="N135" s="60"/>
    </row>
    <row r="136" spans="14:14">
      <c r="N136" s="60"/>
    </row>
    <row r="137" spans="14:14">
      <c r="N137" s="60"/>
    </row>
    <row r="138" spans="14:14">
      <c r="N138" s="60"/>
    </row>
    <row r="139" spans="14:14">
      <c r="N139" s="60"/>
    </row>
    <row r="140" spans="14:14">
      <c r="N140" s="60"/>
    </row>
    <row r="141" spans="14:14">
      <c r="N141" s="60"/>
    </row>
    <row r="142" spans="14:14">
      <c r="N142" s="60"/>
    </row>
    <row r="143" spans="14:14">
      <c r="N143" s="60"/>
    </row>
    <row r="144" spans="14:14">
      <c r="N144" s="60"/>
    </row>
    <row r="145" spans="14:14">
      <c r="N145" s="60"/>
    </row>
    <row r="146" spans="14:14">
      <c r="N146" s="60"/>
    </row>
    <row r="147" spans="14:14">
      <c r="N147" s="60"/>
    </row>
    <row r="148" spans="14:14">
      <c r="N148" s="60"/>
    </row>
    <row r="149" spans="14:14">
      <c r="N149" s="60"/>
    </row>
    <row r="150" spans="14:14">
      <c r="N150" s="60"/>
    </row>
    <row r="151" spans="14:14">
      <c r="N151" s="60"/>
    </row>
    <row r="152" spans="14:14">
      <c r="N152" s="60"/>
    </row>
    <row r="153" spans="14:14">
      <c r="N153" s="60"/>
    </row>
    <row r="154" spans="14:14">
      <c r="N154" s="60"/>
    </row>
    <row r="155" spans="14:14">
      <c r="N155" s="60"/>
    </row>
    <row r="156" spans="14:14">
      <c r="N156" s="60"/>
    </row>
    <row r="157" spans="14:14">
      <c r="N157" s="60"/>
    </row>
    <row r="158" spans="14:14">
      <c r="N158" s="60"/>
    </row>
    <row r="159" spans="14:14">
      <c r="N159" s="60"/>
    </row>
    <row r="160" spans="14:14">
      <c r="N160" s="60"/>
    </row>
    <row r="161" spans="14:14">
      <c r="N161" s="60"/>
    </row>
    <row r="162" spans="14:14">
      <c r="N162" s="60"/>
    </row>
    <row r="163" spans="14:14">
      <c r="N163" s="60"/>
    </row>
    <row r="164" spans="14:14">
      <c r="N164" s="60"/>
    </row>
    <row r="165" spans="14:14">
      <c r="N165" s="60"/>
    </row>
    <row r="166" spans="14:14">
      <c r="N166" s="60"/>
    </row>
    <row r="167" spans="14:14">
      <c r="N167" s="60"/>
    </row>
    <row r="168" spans="14:14">
      <c r="N168" s="60"/>
    </row>
    <row r="169" spans="14:14">
      <c r="N169" s="60"/>
    </row>
    <row r="170" spans="14:14">
      <c r="N170" s="60"/>
    </row>
    <row r="171" spans="14:14">
      <c r="N171" s="60"/>
    </row>
    <row r="172" spans="14:14">
      <c r="N172" s="60"/>
    </row>
    <row r="173" spans="14:14">
      <c r="N173" s="60"/>
    </row>
    <row r="174" spans="14:14">
      <c r="N174" s="60"/>
    </row>
    <row r="175" spans="14:14">
      <c r="N175" s="60"/>
    </row>
    <row r="176" spans="14:14">
      <c r="N176" s="60"/>
    </row>
    <row r="177" spans="14:14">
      <c r="N177" s="60"/>
    </row>
    <row r="178" spans="14:14">
      <c r="N178" s="60"/>
    </row>
    <row r="179" spans="14:14">
      <c r="N179" s="60"/>
    </row>
    <row r="180" spans="14:14">
      <c r="N180" s="60"/>
    </row>
    <row r="181" spans="14:14">
      <c r="N181" s="60"/>
    </row>
    <row r="182" spans="14:14">
      <c r="N182" s="60"/>
    </row>
    <row r="183" spans="14:14">
      <c r="N183" s="60"/>
    </row>
    <row r="184" spans="14:14">
      <c r="N184" s="60"/>
    </row>
    <row r="185" spans="14:14">
      <c r="N185" s="60"/>
    </row>
    <row r="186" spans="14:14">
      <c r="N186" s="60"/>
    </row>
    <row r="187" spans="14:14">
      <c r="N187" s="60"/>
    </row>
    <row r="188" spans="14:14">
      <c r="N188" s="60"/>
    </row>
    <row r="189" spans="14:14">
      <c r="N189" s="60"/>
    </row>
    <row r="190" spans="14:14">
      <c r="N190" s="60"/>
    </row>
    <row r="191" spans="14:14">
      <c r="N191" s="60"/>
    </row>
    <row r="192" spans="14:14">
      <c r="N192" s="60"/>
    </row>
    <row r="193" spans="14:14">
      <c r="N193" s="60"/>
    </row>
    <row r="194" spans="14:14">
      <c r="N194" s="60"/>
    </row>
    <row r="195" spans="14:14">
      <c r="N195" s="60"/>
    </row>
    <row r="196" spans="14:14">
      <c r="N196" s="60"/>
    </row>
    <row r="197" spans="14:14">
      <c r="N197" s="60"/>
    </row>
    <row r="198" spans="14:14">
      <c r="N198" s="60"/>
    </row>
    <row r="199" spans="14:14">
      <c r="N199" s="60"/>
    </row>
    <row r="200" spans="14:14">
      <c r="N200" s="60"/>
    </row>
    <row r="201" spans="14:14">
      <c r="N201" s="60"/>
    </row>
    <row r="202" spans="14:14">
      <c r="N202" s="60"/>
    </row>
    <row r="203" spans="14:14">
      <c r="N203" s="60"/>
    </row>
    <row r="204" spans="14:14">
      <c r="N204" s="60"/>
    </row>
    <row r="205" spans="14:14">
      <c r="N205" s="60"/>
    </row>
    <row r="206" spans="14:14">
      <c r="N206" s="60"/>
    </row>
    <row r="207" spans="14:14">
      <c r="N207" s="60"/>
    </row>
    <row r="208" spans="14:14">
      <c r="N208" s="60"/>
    </row>
    <row r="209" spans="14:14">
      <c r="N209" s="60"/>
    </row>
    <row r="210" spans="14:14">
      <c r="N210" s="60"/>
    </row>
    <row r="211" spans="14:14">
      <c r="N211" s="60"/>
    </row>
    <row r="212" spans="14:14">
      <c r="N212" s="60"/>
    </row>
    <row r="213" spans="14:14">
      <c r="N213" s="60"/>
    </row>
    <row r="214" spans="14:14">
      <c r="N214" s="60"/>
    </row>
    <row r="215" spans="14:14">
      <c r="N215" s="60"/>
    </row>
    <row r="216" spans="14:14">
      <c r="N216" s="60"/>
    </row>
    <row r="217" spans="14:14">
      <c r="N217" s="60"/>
    </row>
    <row r="218" spans="14:14">
      <c r="N218" s="60"/>
    </row>
    <row r="219" spans="14:14">
      <c r="N219" s="60"/>
    </row>
    <row r="220" spans="14:14">
      <c r="N220" s="60"/>
    </row>
    <row r="221" spans="14:14">
      <c r="N221" s="60"/>
    </row>
    <row r="222" spans="14:14">
      <c r="N222" s="60"/>
    </row>
    <row r="223" spans="14:14">
      <c r="N223" s="60"/>
    </row>
    <row r="224" spans="14:14">
      <c r="N224" s="60"/>
    </row>
    <row r="225" spans="14:14">
      <c r="N225" s="60"/>
    </row>
    <row r="226" spans="14:14">
      <c r="N226" s="60"/>
    </row>
    <row r="227" spans="14:14">
      <c r="N227" s="60"/>
    </row>
    <row r="228" spans="14:14">
      <c r="N228" s="60"/>
    </row>
    <row r="229" spans="14:14">
      <c r="N229" s="60"/>
    </row>
    <row r="230" spans="14:14">
      <c r="N230" s="60"/>
    </row>
    <row r="231" spans="14:14">
      <c r="N231" s="60"/>
    </row>
    <row r="232" spans="14:14">
      <c r="N232" s="60"/>
    </row>
    <row r="233" spans="14:14">
      <c r="N233" s="60"/>
    </row>
    <row r="234" spans="14:14">
      <c r="N234" s="60"/>
    </row>
    <row r="235" spans="14:14">
      <c r="N235" s="60"/>
    </row>
    <row r="236" spans="14:14">
      <c r="N236" s="60"/>
    </row>
    <row r="237" spans="14:14">
      <c r="N237" s="60"/>
    </row>
    <row r="238" spans="14:14">
      <c r="N238" s="60"/>
    </row>
    <row r="239" spans="14:14">
      <c r="N239" s="60"/>
    </row>
    <row r="240" spans="14:14">
      <c r="N240" s="60"/>
    </row>
    <row r="241" spans="14:14">
      <c r="N241" s="60"/>
    </row>
    <row r="242" spans="14:14">
      <c r="N242" s="60"/>
    </row>
    <row r="243" spans="14:14">
      <c r="N243" s="60"/>
    </row>
    <row r="244" spans="14:14">
      <c r="N244" s="60"/>
    </row>
    <row r="245" spans="14:14">
      <c r="N245" s="60"/>
    </row>
    <row r="246" spans="14:14">
      <c r="N246" s="60"/>
    </row>
    <row r="247" spans="14:14">
      <c r="N247" s="60"/>
    </row>
    <row r="248" spans="14:14">
      <c r="N248" s="60"/>
    </row>
    <row r="249" spans="14:14">
      <c r="N249" s="60"/>
    </row>
    <row r="250" spans="14:14">
      <c r="N250" s="60"/>
    </row>
    <row r="251" spans="14:14">
      <c r="N251" s="60"/>
    </row>
    <row r="252" spans="14:14">
      <c r="N252" s="60"/>
    </row>
    <row r="253" spans="14:14">
      <c r="N253" s="60"/>
    </row>
    <row r="254" spans="14:14">
      <c r="N254" s="60"/>
    </row>
    <row r="255" spans="14:14">
      <c r="N255" s="60"/>
    </row>
    <row r="256" spans="14:14">
      <c r="N256" s="60"/>
    </row>
    <row r="257" spans="14:14">
      <c r="N257" s="60"/>
    </row>
    <row r="258" spans="14:14">
      <c r="N258" s="60"/>
    </row>
    <row r="259" spans="14:14">
      <c r="N259" s="60"/>
    </row>
    <row r="260" spans="14:14">
      <c r="N260" s="60"/>
    </row>
    <row r="261" spans="14:14">
      <c r="N261" s="60"/>
    </row>
    <row r="262" spans="14:14">
      <c r="N262" s="60"/>
    </row>
    <row r="263" spans="14:14">
      <c r="N263" s="60"/>
    </row>
    <row r="264" spans="14:14">
      <c r="N264" s="60"/>
    </row>
    <row r="265" spans="14:14">
      <c r="N265" s="60"/>
    </row>
    <row r="266" spans="14:14">
      <c r="N266" s="60"/>
    </row>
    <row r="267" spans="14:14">
      <c r="N267" s="60"/>
    </row>
    <row r="268" spans="14:14">
      <c r="N268" s="60"/>
    </row>
    <row r="269" spans="14:14">
      <c r="N269" s="60"/>
    </row>
    <row r="270" spans="14:14">
      <c r="N270" s="60"/>
    </row>
    <row r="271" spans="14:14">
      <c r="N271" s="60"/>
    </row>
    <row r="272" spans="14:14">
      <c r="N272" s="60"/>
    </row>
    <row r="273" spans="14:14">
      <c r="N273" s="60"/>
    </row>
    <row r="274" spans="14:14">
      <c r="N274" s="60"/>
    </row>
    <row r="275" spans="14:14">
      <c r="N275" s="60"/>
    </row>
    <row r="276" spans="14:14">
      <c r="N276" s="60"/>
    </row>
    <row r="277" spans="14:14">
      <c r="N277" s="60"/>
    </row>
    <row r="278" spans="14:14">
      <c r="N278" s="60"/>
    </row>
    <row r="279" spans="14:14">
      <c r="N279" s="60"/>
    </row>
    <row r="280" spans="14:14">
      <c r="N280" s="60"/>
    </row>
    <row r="281" spans="14:14">
      <c r="N281" s="60"/>
    </row>
    <row r="282" spans="14:14">
      <c r="N282" s="60"/>
    </row>
    <row r="283" spans="14:14">
      <c r="N283" s="60"/>
    </row>
    <row r="284" spans="14:14">
      <c r="N284" s="60"/>
    </row>
    <row r="285" spans="14:14">
      <c r="N285" s="60"/>
    </row>
    <row r="286" spans="14:14">
      <c r="N286" s="60"/>
    </row>
    <row r="287" spans="14:14">
      <c r="N287" s="60"/>
    </row>
    <row r="288" spans="14:14">
      <c r="N288" s="60"/>
    </row>
    <row r="289" spans="14:14">
      <c r="N289" s="60"/>
    </row>
    <row r="290" spans="14:14">
      <c r="N290" s="60"/>
    </row>
    <row r="291" spans="14:14">
      <c r="N291" s="60"/>
    </row>
    <row r="292" spans="14:14">
      <c r="N292" s="60"/>
    </row>
    <row r="293" spans="14:14">
      <c r="N293" s="60"/>
    </row>
    <row r="294" spans="14:14">
      <c r="N294" s="60"/>
    </row>
    <row r="295" spans="14:14">
      <c r="N295" s="60"/>
    </row>
    <row r="296" spans="14:14">
      <c r="N296" s="60"/>
    </row>
    <row r="297" spans="14:14">
      <c r="N297" s="60"/>
    </row>
    <row r="298" spans="14:14">
      <c r="N298" s="60"/>
    </row>
    <row r="299" spans="14:14">
      <c r="N299" s="60"/>
    </row>
    <row r="300" spans="14:14">
      <c r="N300" s="60"/>
    </row>
    <row r="301" spans="14:14">
      <c r="N301" s="60"/>
    </row>
    <row r="302" spans="14:14">
      <c r="N302" s="60"/>
    </row>
    <row r="303" spans="14:14">
      <c r="N303" s="60"/>
    </row>
    <row r="304" spans="14:14">
      <c r="N304" s="60"/>
    </row>
    <row r="305" spans="14:14">
      <c r="N305" s="60"/>
    </row>
    <row r="306" spans="14:14">
      <c r="N306" s="60"/>
    </row>
    <row r="307" spans="14:14">
      <c r="N307" s="60"/>
    </row>
    <row r="308" spans="14:14">
      <c r="N308" s="60"/>
    </row>
    <row r="309" spans="14:14">
      <c r="N309" s="60"/>
    </row>
    <row r="310" spans="14:14">
      <c r="N310" s="60"/>
    </row>
    <row r="311" spans="14:14">
      <c r="N311" s="60"/>
    </row>
    <row r="312" spans="14:14">
      <c r="N312" s="60"/>
    </row>
    <row r="313" spans="14:14">
      <c r="N313" s="60"/>
    </row>
    <row r="314" spans="14:14">
      <c r="N314" s="60"/>
    </row>
    <row r="315" spans="14:14">
      <c r="N315" s="60"/>
    </row>
    <row r="316" spans="14:14">
      <c r="N316" s="60"/>
    </row>
    <row r="317" spans="14:14">
      <c r="N317" s="60"/>
    </row>
    <row r="318" spans="14:14">
      <c r="N318" s="60"/>
    </row>
    <row r="319" spans="14:14">
      <c r="N319" s="60"/>
    </row>
    <row r="320" spans="14:14">
      <c r="N320" s="60"/>
    </row>
    <row r="321" spans="14:14">
      <c r="N321" s="60"/>
    </row>
    <row r="322" spans="14:14">
      <c r="N322" s="60"/>
    </row>
    <row r="323" spans="14:14">
      <c r="N323" s="60"/>
    </row>
    <row r="324" spans="14:14">
      <c r="N324" s="60"/>
    </row>
    <row r="325" spans="14:14">
      <c r="N325" s="60"/>
    </row>
    <row r="326" spans="14:14">
      <c r="N326" s="60"/>
    </row>
    <row r="327" spans="14:14">
      <c r="N327" s="60"/>
    </row>
    <row r="328" spans="14:14">
      <c r="N328" s="60"/>
    </row>
    <row r="329" spans="14:14">
      <c r="N329" s="60"/>
    </row>
    <row r="330" spans="14:14">
      <c r="N330" s="60"/>
    </row>
    <row r="331" spans="14:14">
      <c r="N331" s="60"/>
    </row>
    <row r="332" spans="14:14">
      <c r="N332" s="60"/>
    </row>
    <row r="333" spans="14:14">
      <c r="N333" s="60"/>
    </row>
    <row r="334" spans="14:14">
      <c r="N334" s="60"/>
    </row>
    <row r="335" spans="14:14">
      <c r="N335" s="60"/>
    </row>
    <row r="336" spans="14:14">
      <c r="N336" s="60"/>
    </row>
    <row r="337" spans="14:14">
      <c r="N337" s="60"/>
    </row>
    <row r="338" spans="14:14">
      <c r="N338" s="60"/>
    </row>
    <row r="339" spans="14:14">
      <c r="N339" s="60"/>
    </row>
    <row r="340" spans="14:14">
      <c r="N340" s="60"/>
    </row>
    <row r="341" spans="14:14">
      <c r="N341" s="60"/>
    </row>
    <row r="342" spans="14:14">
      <c r="N342" s="60"/>
    </row>
    <row r="343" spans="14:14">
      <c r="N343" s="60"/>
    </row>
    <row r="344" spans="14:14">
      <c r="N344" s="60"/>
    </row>
    <row r="345" spans="14:14">
      <c r="N345" s="60"/>
    </row>
    <row r="346" spans="14:14">
      <c r="N346" s="60"/>
    </row>
    <row r="347" spans="14:14">
      <c r="N347" s="60"/>
    </row>
    <row r="348" spans="14:14">
      <c r="N348" s="60"/>
    </row>
    <row r="349" spans="14:14">
      <c r="N349" s="60"/>
    </row>
    <row r="350" spans="14:14">
      <c r="N350" s="60"/>
    </row>
    <row r="351" spans="14:14">
      <c r="N351" s="60"/>
    </row>
    <row r="352" spans="14:14">
      <c r="N352" s="60"/>
    </row>
    <row r="353" spans="14:14">
      <c r="N353" s="60"/>
    </row>
    <row r="354" spans="14:14">
      <c r="N354" s="60"/>
    </row>
    <row r="355" spans="14:14">
      <c r="N355" s="60"/>
    </row>
    <row r="356" spans="14:14">
      <c r="N356" s="60"/>
    </row>
    <row r="357" spans="14:14">
      <c r="N357" s="60"/>
    </row>
    <row r="358" spans="14:14">
      <c r="N358" s="60"/>
    </row>
    <row r="359" spans="14:14">
      <c r="N359" s="60"/>
    </row>
    <row r="360" spans="14:14">
      <c r="N360" s="60"/>
    </row>
    <row r="361" spans="14:14">
      <c r="N361" s="60"/>
    </row>
    <row r="362" spans="14:14">
      <c r="N362" s="60"/>
    </row>
    <row r="363" spans="14:14">
      <c r="N363" s="60"/>
    </row>
    <row r="364" spans="14:14">
      <c r="N364" s="60"/>
    </row>
    <row r="365" spans="14:14">
      <c r="N365" s="60"/>
    </row>
    <row r="366" spans="14:14">
      <c r="N366" s="60"/>
    </row>
    <row r="367" spans="14:14">
      <c r="N367" s="60"/>
    </row>
    <row r="368" spans="14:14">
      <c r="N368" s="60"/>
    </row>
    <row r="369" spans="14:14">
      <c r="N369" s="60"/>
    </row>
    <row r="370" spans="14:14">
      <c r="N370" s="60"/>
    </row>
    <row r="371" spans="14:14">
      <c r="N371" s="60"/>
    </row>
    <row r="372" spans="14:14">
      <c r="N372" s="60"/>
    </row>
    <row r="373" spans="14:14">
      <c r="N373" s="60"/>
    </row>
    <row r="374" spans="14:14">
      <c r="N374" s="60"/>
    </row>
    <row r="375" spans="14:14">
      <c r="N375" s="60"/>
    </row>
    <row r="376" spans="14:14">
      <c r="N376" s="60"/>
    </row>
    <row r="377" spans="14:14">
      <c r="N377" s="60"/>
    </row>
    <row r="378" spans="14:14">
      <c r="N378" s="60"/>
    </row>
    <row r="379" spans="14:14">
      <c r="N379" s="60"/>
    </row>
    <row r="380" spans="14:14">
      <c r="N380" s="60"/>
    </row>
    <row r="381" spans="14:14">
      <c r="N381" s="60"/>
    </row>
    <row r="382" spans="14:14">
      <c r="N382" s="60"/>
    </row>
    <row r="383" spans="14:14">
      <c r="N383" s="60"/>
    </row>
    <row r="384" spans="14:14">
      <c r="N384" s="60"/>
    </row>
    <row r="385" spans="14:14">
      <c r="N385" s="60"/>
    </row>
    <row r="386" spans="14:14">
      <c r="N386" s="60"/>
    </row>
    <row r="387" spans="14:14">
      <c r="N387" s="60"/>
    </row>
    <row r="388" spans="14:14">
      <c r="N388" s="60"/>
    </row>
    <row r="389" spans="14:14">
      <c r="N389" s="60"/>
    </row>
    <row r="390" spans="14:14">
      <c r="N390" s="60"/>
    </row>
    <row r="391" spans="14:14">
      <c r="N391" s="60"/>
    </row>
    <row r="392" spans="14:14">
      <c r="N392" s="60"/>
    </row>
    <row r="393" spans="14:14">
      <c r="N393" s="60"/>
    </row>
    <row r="394" spans="14:14">
      <c r="N394" s="60"/>
    </row>
    <row r="395" spans="14:14">
      <c r="N395" s="60"/>
    </row>
    <row r="396" spans="14:14">
      <c r="N396" s="60"/>
    </row>
    <row r="397" spans="14:14">
      <c r="N397" s="60"/>
    </row>
    <row r="398" spans="14:14">
      <c r="N398" s="60"/>
    </row>
    <row r="399" spans="14:14">
      <c r="N399" s="60"/>
    </row>
    <row r="400" spans="14:14">
      <c r="N400" s="60"/>
    </row>
    <row r="401" spans="14:14">
      <c r="N401" s="60"/>
    </row>
    <row r="402" spans="14:14">
      <c r="N402" s="60"/>
    </row>
    <row r="403" spans="14:14">
      <c r="N403" s="60"/>
    </row>
    <row r="404" spans="14:14">
      <c r="N404" s="60"/>
    </row>
    <row r="405" spans="14:14">
      <c r="N405" s="60"/>
    </row>
    <row r="406" spans="14:14">
      <c r="N406" s="60"/>
    </row>
    <row r="407" spans="14:14">
      <c r="N407" s="60"/>
    </row>
    <row r="408" spans="14:14">
      <c r="N408" s="60"/>
    </row>
    <row r="409" spans="14:14">
      <c r="N409" s="60"/>
    </row>
    <row r="410" spans="14:14">
      <c r="N410" s="60"/>
    </row>
    <row r="411" spans="14:14">
      <c r="N411" s="60"/>
    </row>
    <row r="412" spans="14:14">
      <c r="N412" s="60"/>
    </row>
    <row r="413" spans="14:14">
      <c r="N413" s="60"/>
    </row>
    <row r="414" spans="14:14">
      <c r="N414" s="60"/>
    </row>
    <row r="415" spans="14:14">
      <c r="N415" s="60"/>
    </row>
    <row r="416" spans="14:14">
      <c r="N416" s="60"/>
    </row>
    <row r="417" spans="14:14">
      <c r="N417" s="60"/>
    </row>
    <row r="418" spans="14:14">
      <c r="N418" s="60"/>
    </row>
    <row r="419" spans="14:14">
      <c r="N419" s="60"/>
    </row>
    <row r="420" spans="14:14">
      <c r="N420" s="60"/>
    </row>
    <row r="421" spans="14:14">
      <c r="N421" s="60"/>
    </row>
    <row r="422" spans="14:14">
      <c r="N422" s="60"/>
    </row>
    <row r="423" spans="14:14">
      <c r="N423" s="60"/>
    </row>
    <row r="424" spans="14:14">
      <c r="N424" s="60"/>
    </row>
    <row r="425" spans="14:14">
      <c r="N425" s="60"/>
    </row>
    <row r="426" spans="14:14">
      <c r="N426" s="60"/>
    </row>
    <row r="427" spans="14:14">
      <c r="N427" s="60"/>
    </row>
    <row r="428" spans="14:14">
      <c r="N428" s="60"/>
    </row>
    <row r="429" spans="14:14">
      <c r="N429" s="60"/>
    </row>
    <row r="430" spans="14:14">
      <c r="N430" s="60"/>
    </row>
    <row r="431" spans="14:14">
      <c r="N431" s="60"/>
    </row>
    <row r="432" spans="14:14">
      <c r="N432" s="60"/>
    </row>
    <row r="433" spans="14:14">
      <c r="N433" s="60"/>
    </row>
    <row r="434" spans="14:14">
      <c r="N434" s="60"/>
    </row>
    <row r="435" spans="14:14">
      <c r="N435" s="60"/>
    </row>
    <row r="436" spans="14:14">
      <c r="N436" s="60"/>
    </row>
    <row r="437" spans="14:14">
      <c r="N437" s="60"/>
    </row>
    <row r="438" spans="14:14">
      <c r="N438" s="60"/>
    </row>
    <row r="439" spans="14:14">
      <c r="N439" s="60"/>
    </row>
    <row r="440" spans="14:14">
      <c r="N440" s="60"/>
    </row>
    <row r="441" spans="14:14">
      <c r="N441" s="60"/>
    </row>
    <row r="442" spans="14:14">
      <c r="N442" s="60"/>
    </row>
    <row r="443" spans="14:14">
      <c r="N443" s="60"/>
    </row>
    <row r="444" spans="14:14">
      <c r="N444" s="60"/>
    </row>
    <row r="445" spans="14:14">
      <c r="N445" s="60"/>
    </row>
    <row r="446" spans="14:14">
      <c r="N446" s="60"/>
    </row>
    <row r="447" spans="14:14">
      <c r="N447" s="60"/>
    </row>
    <row r="448" spans="14:14">
      <c r="N448" s="60"/>
    </row>
  </sheetData>
  <mergeCells count="10">
    <mergeCell ref="AF11:AG11"/>
    <mergeCell ref="H24:I24"/>
    <mergeCell ref="H25:I25"/>
    <mergeCell ref="H26:I26"/>
    <mergeCell ref="B1:C1"/>
    <mergeCell ref="E1:F1"/>
    <mergeCell ref="G1:H1"/>
    <mergeCell ref="Q1:R1"/>
    <mergeCell ref="Y11:AA11"/>
    <mergeCell ref="AB11:AE11"/>
  </mergeCells>
  <hyperlinks>
    <hyperlink ref="B18" r:id="rId1" xr:uid="{C86F2253-106A-4A33-8E49-D1B9AF46614F}"/>
  </hyperlinks>
  <pageMargins left="0.17" right="0.17" top="0.61" bottom="0.75" header="0.3" footer="0.3"/>
  <pageSetup scale="44" fitToHeight="0" orientation="landscape" horizontalDpi="0" verticalDpi="0" r:id="rId2"/>
  <drawing r:id="rId3"/>
  <legacy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589FF-8466-44A1-894F-2ED6E65A8CBD}">
  <dimension ref="A2:G34"/>
  <sheetViews>
    <sheetView topLeftCell="A4" zoomScale="85" zoomScaleNormal="85" workbookViewId="0">
      <selection activeCell="H21" sqref="H21"/>
    </sheetView>
  </sheetViews>
  <sheetFormatPr defaultColWidth="9.26953125" defaultRowHeight="14.5"/>
  <cols>
    <col min="1" max="1" width="9.26953125" style="277"/>
    <col min="2" max="2" width="31.7265625" style="263" customWidth="1"/>
    <col min="3" max="3" width="56.26953125" style="263" customWidth="1"/>
    <col min="4" max="4" width="46" style="263" customWidth="1"/>
    <col min="5" max="5" width="9.26953125" style="263"/>
    <col min="6" max="6" width="8.81640625" style="263" customWidth="1"/>
    <col min="7" max="7" width="17.7265625" style="263" customWidth="1"/>
    <col min="8" max="16384" width="9.26953125" style="263"/>
  </cols>
  <sheetData>
    <row r="2" spans="1:4" ht="19.5">
      <c r="A2" s="280" t="s">
        <v>103</v>
      </c>
      <c r="B2" s="280"/>
      <c r="C2" s="280"/>
      <c r="D2" s="280"/>
    </row>
    <row r="4" spans="1:4" ht="89.25" customHeight="1">
      <c r="A4" s="264"/>
      <c r="B4" s="293" t="s">
        <v>154</v>
      </c>
      <c r="C4" s="293"/>
      <c r="D4" s="293"/>
    </row>
    <row r="6" spans="1:4">
      <c r="A6" s="265" t="s">
        <v>104</v>
      </c>
      <c r="B6" s="265" t="s">
        <v>105</v>
      </c>
      <c r="C6" s="265" t="s">
        <v>106</v>
      </c>
      <c r="D6" s="265" t="s">
        <v>107</v>
      </c>
    </row>
    <row r="7" spans="1:4" ht="68.5" customHeight="1">
      <c r="A7" s="266">
        <v>1</v>
      </c>
      <c r="B7" s="267" t="s">
        <v>88</v>
      </c>
      <c r="C7" s="268" t="s">
        <v>108</v>
      </c>
      <c r="D7" s="269" t="s">
        <v>109</v>
      </c>
    </row>
    <row r="8" spans="1:4" ht="109.5" customHeight="1">
      <c r="A8" s="266">
        <v>2</v>
      </c>
      <c r="B8" s="267" t="s">
        <v>116</v>
      </c>
      <c r="C8" s="268" t="s">
        <v>117</v>
      </c>
      <c r="D8" s="269"/>
    </row>
    <row r="9" spans="1:4" ht="201" customHeight="1">
      <c r="A9" s="266">
        <v>3</v>
      </c>
      <c r="B9" s="267" t="s">
        <v>78</v>
      </c>
      <c r="C9" s="268" t="s">
        <v>173</v>
      </c>
      <c r="D9" s="268" t="s">
        <v>126</v>
      </c>
    </row>
    <row r="10" spans="1:4" ht="67.5" customHeight="1">
      <c r="A10" s="281">
        <v>4</v>
      </c>
      <c r="B10" s="282" t="s">
        <v>87</v>
      </c>
      <c r="C10" s="268" t="s">
        <v>155</v>
      </c>
      <c r="D10" s="269"/>
    </row>
    <row r="11" spans="1:4" ht="67.5" customHeight="1">
      <c r="A11" s="281"/>
      <c r="B11" s="282"/>
      <c r="C11" s="268" t="s">
        <v>156</v>
      </c>
      <c r="D11" s="279" t="s">
        <v>174</v>
      </c>
    </row>
    <row r="12" spans="1:4" ht="95" customHeight="1">
      <c r="A12" s="286">
        <v>5</v>
      </c>
      <c r="B12" s="283" t="s">
        <v>83</v>
      </c>
      <c r="C12" s="271" t="s">
        <v>167</v>
      </c>
      <c r="D12" s="289" t="s">
        <v>175</v>
      </c>
    </row>
    <row r="13" spans="1:4" ht="36.5" customHeight="1">
      <c r="A13" s="287"/>
      <c r="B13" s="284"/>
      <c r="C13" s="271" t="s">
        <v>157</v>
      </c>
      <c r="D13" s="290"/>
    </row>
    <row r="14" spans="1:4" ht="36.5" customHeight="1">
      <c r="A14" s="287"/>
      <c r="B14" s="284"/>
      <c r="C14" s="271" t="s">
        <v>158</v>
      </c>
      <c r="D14" s="290"/>
    </row>
    <row r="15" spans="1:4" ht="36.5" customHeight="1">
      <c r="A15" s="287"/>
      <c r="B15" s="284"/>
      <c r="C15" s="271" t="s">
        <v>159</v>
      </c>
      <c r="D15" s="290"/>
    </row>
    <row r="16" spans="1:4" ht="64.5" customHeight="1">
      <c r="A16" s="287"/>
      <c r="B16" s="284"/>
      <c r="C16" s="271" t="s">
        <v>168</v>
      </c>
      <c r="D16" s="290"/>
    </row>
    <row r="17" spans="1:7" ht="39" customHeight="1">
      <c r="A17" s="288"/>
      <c r="B17" s="285"/>
      <c r="C17" s="268" t="s">
        <v>169</v>
      </c>
      <c r="D17" s="291"/>
    </row>
    <row r="18" spans="1:7" ht="104.25" customHeight="1">
      <c r="A18" s="281">
        <v>6</v>
      </c>
      <c r="B18" s="282" t="s">
        <v>113</v>
      </c>
      <c r="C18" s="268" t="s">
        <v>127</v>
      </c>
      <c r="D18" s="271" t="s">
        <v>128</v>
      </c>
    </row>
    <row r="19" spans="1:7" ht="67.5" customHeight="1">
      <c r="A19" s="281"/>
      <c r="B19" s="282"/>
      <c r="C19" s="268" t="s">
        <v>170</v>
      </c>
      <c r="D19" s="269"/>
    </row>
    <row r="20" spans="1:7" ht="80" customHeight="1">
      <c r="A20" s="281">
        <v>7</v>
      </c>
      <c r="B20" s="282" t="s">
        <v>111</v>
      </c>
      <c r="C20" s="268" t="s">
        <v>171</v>
      </c>
      <c r="D20" s="269"/>
    </row>
    <row r="21" spans="1:7" ht="24.5" customHeight="1">
      <c r="A21" s="281"/>
      <c r="B21" s="282"/>
      <c r="C21" s="272" t="s">
        <v>112</v>
      </c>
      <c r="D21" s="269"/>
    </row>
    <row r="22" spans="1:7" ht="80" customHeight="1">
      <c r="A22" s="273">
        <v>8</v>
      </c>
      <c r="B22" s="274" t="s">
        <v>114</v>
      </c>
      <c r="C22" s="268" t="s">
        <v>172</v>
      </c>
      <c r="D22" s="271"/>
    </row>
    <row r="23" spans="1:7" ht="53.5" customHeight="1">
      <c r="A23" s="286">
        <v>9</v>
      </c>
      <c r="B23" s="283" t="s">
        <v>110</v>
      </c>
      <c r="C23" s="268" t="s">
        <v>119</v>
      </c>
      <c r="D23" s="271" t="s">
        <v>118</v>
      </c>
    </row>
    <row r="24" spans="1:7" ht="66" customHeight="1">
      <c r="A24" s="287"/>
      <c r="B24" s="284"/>
      <c r="C24" s="268" t="s">
        <v>160</v>
      </c>
      <c r="D24" s="294" t="s">
        <v>161</v>
      </c>
      <c r="F24" s="263" t="s">
        <v>87</v>
      </c>
    </row>
    <row r="25" spans="1:7" ht="64" customHeight="1">
      <c r="A25" s="287"/>
      <c r="B25" s="284"/>
      <c r="C25" s="268" t="s">
        <v>162</v>
      </c>
      <c r="D25" s="290"/>
      <c r="F25" s="275" t="s">
        <v>129</v>
      </c>
      <c r="G25" s="276" t="s">
        <v>131</v>
      </c>
    </row>
    <row r="26" spans="1:7" ht="64.5" customHeight="1">
      <c r="A26" s="287"/>
      <c r="B26" s="284"/>
      <c r="C26" s="268" t="s">
        <v>163</v>
      </c>
      <c r="D26" s="290"/>
      <c r="F26" s="276" t="s">
        <v>130</v>
      </c>
      <c r="G26" s="276" t="s">
        <v>132</v>
      </c>
    </row>
    <row r="27" spans="1:7" ht="49.5" customHeight="1">
      <c r="A27" s="288"/>
      <c r="B27" s="285"/>
      <c r="C27" s="268" t="s">
        <v>164</v>
      </c>
      <c r="D27" s="295"/>
    </row>
    <row r="28" spans="1:7" ht="67" customHeight="1">
      <c r="A28" s="281">
        <v>10</v>
      </c>
      <c r="B28" s="292" t="s">
        <v>115</v>
      </c>
      <c r="C28" s="271" t="s">
        <v>165</v>
      </c>
      <c r="D28" s="269"/>
    </row>
    <row r="29" spans="1:7" ht="53.5" customHeight="1">
      <c r="A29" s="281"/>
      <c r="B29" s="282"/>
      <c r="C29" s="271" t="s">
        <v>166</v>
      </c>
      <c r="D29" s="269"/>
    </row>
    <row r="30" spans="1:7" ht="53.5" customHeight="1">
      <c r="A30" s="281"/>
      <c r="B30" s="282"/>
      <c r="C30" s="271" t="s">
        <v>180</v>
      </c>
      <c r="D30" s="269"/>
    </row>
    <row r="31" spans="1:7" ht="80.5" customHeight="1">
      <c r="A31" s="281"/>
      <c r="B31" s="282"/>
      <c r="C31" s="271" t="s">
        <v>182</v>
      </c>
      <c r="D31" s="269"/>
    </row>
    <row r="32" spans="1:7" ht="56" customHeight="1">
      <c r="A32" s="281"/>
      <c r="B32" s="282"/>
      <c r="C32" s="271" t="s">
        <v>179</v>
      </c>
      <c r="D32" s="269"/>
    </row>
    <row r="33" spans="1:4" ht="128" customHeight="1">
      <c r="A33" s="281"/>
      <c r="B33" s="282"/>
      <c r="C33" s="271" t="s">
        <v>181</v>
      </c>
      <c r="D33" s="269"/>
    </row>
    <row r="34" spans="1:4" ht="71" customHeight="1">
      <c r="A34" s="266">
        <v>11</v>
      </c>
      <c r="B34" s="270" t="s">
        <v>177</v>
      </c>
      <c r="C34" s="268" t="s">
        <v>178</v>
      </c>
      <c r="D34" s="279" t="s">
        <v>176</v>
      </c>
    </row>
  </sheetData>
  <mergeCells count="16">
    <mergeCell ref="A28:A33"/>
    <mergeCell ref="B28:B33"/>
    <mergeCell ref="B4:D4"/>
    <mergeCell ref="A20:A21"/>
    <mergeCell ref="B20:B21"/>
    <mergeCell ref="B23:B27"/>
    <mergeCell ref="A23:A27"/>
    <mergeCell ref="D24:D27"/>
    <mergeCell ref="A2:D2"/>
    <mergeCell ref="A10:A11"/>
    <mergeCell ref="B10:B11"/>
    <mergeCell ref="A18:A19"/>
    <mergeCell ref="B18:B19"/>
    <mergeCell ref="B12:B17"/>
    <mergeCell ref="A12:A17"/>
    <mergeCell ref="D12:D17"/>
  </mergeCells>
  <hyperlinks>
    <hyperlink ref="D11" r:id="rId1" xr:uid="{6BAA3D91-5367-4EE3-8FC9-B2F34239D03D}"/>
    <hyperlink ref="D12" r:id="rId2" xr:uid="{3D0785CF-2AE0-4DDB-9419-37FD7AFBB670}"/>
    <hyperlink ref="D34" r:id="rId3" xr:uid="{84A116EF-A2EC-440E-9AE0-28F4AB7917A6}"/>
  </hyperlinks>
  <pageMargins left="0.7" right="0.7" top="0.75" bottom="0.75" header="0.3" footer="0.3"/>
  <pageSetup orientation="portrait" horizontalDpi="0" verticalDpi="0"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2abadf4-e70f-4602-9edf-fdcb6544b699">
      <Terms xmlns="http://schemas.microsoft.com/office/infopath/2007/PartnerControls"/>
    </lcf76f155ced4ddcb4097134ff3c332f>
    <TaxCatchAll xmlns="1af3edaa-6399-4b75-a423-94620ef870b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A5431F1FC81047917F9B0CF0A4129C" ma:contentTypeVersion="13" ma:contentTypeDescription="Create a new document." ma:contentTypeScope="" ma:versionID="7eb334ca8bc612f8c61c1701b3261674">
  <xsd:schema xmlns:xsd="http://www.w3.org/2001/XMLSchema" xmlns:xs="http://www.w3.org/2001/XMLSchema" xmlns:p="http://schemas.microsoft.com/office/2006/metadata/properties" xmlns:ns2="72abadf4-e70f-4602-9edf-fdcb6544b699" xmlns:ns3="1af3edaa-6399-4b75-a423-94620ef870b8" targetNamespace="http://schemas.microsoft.com/office/2006/metadata/properties" ma:root="true" ma:fieldsID="1724ee5c5dd7981301ef8b931793c03a" ns2:_="" ns3:_="">
    <xsd:import namespace="72abadf4-e70f-4602-9edf-fdcb6544b699"/>
    <xsd:import namespace="1af3edaa-6399-4b75-a423-94620ef870b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badf4-e70f-4602-9edf-fdcb6544b6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c5c26d-eae1-4e16-a831-9cefec18bd5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f3edaa-6399-4b75-a423-94620ef870b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66f98e5-05bd-469b-88b9-a987989f3e93}" ma:internalName="TaxCatchAll" ma:showField="CatchAllData" ma:web="1af3edaa-6399-4b75-a423-94620ef870b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A7A9575-EB06-4199-AFD7-D7E1DCBD6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50F38C-820C-48F3-88DF-E798FBAC0187}">
  <ds:schemaRefs>
    <ds:schemaRef ds:uri="http://schemas.microsoft.com/office/2006/metadata/properties"/>
    <ds:schemaRef ds:uri="http://schemas.microsoft.com/office/infopath/2007/PartnerControls"/>
    <ds:schemaRef ds:uri="72abadf4-e70f-4602-9edf-fdcb6544b699"/>
    <ds:schemaRef ds:uri="1af3edaa-6399-4b75-a423-94620ef870b8"/>
  </ds:schemaRefs>
</ds:datastoreItem>
</file>

<file path=customXml/itemProps3.xml><?xml version="1.0" encoding="utf-8"?>
<ds:datastoreItem xmlns:ds="http://schemas.openxmlformats.org/officeDocument/2006/customXml" ds:itemID="{3A59BB2C-4894-4CAB-8991-129D0FB7CA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abadf4-e70f-4602-9edf-fdcb6544b699"/>
    <ds:schemaRef ds:uri="1af3edaa-6399-4b75-a423-94620ef870b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General</vt:lpstr>
      <vt:lpstr>Import</vt:lpstr>
      <vt:lpstr>PC</vt:lpstr>
      <vt:lpstr>HAD</vt:lpstr>
      <vt:lpstr>HAD's</vt:lpstr>
      <vt:lpstr>Cable Snake</vt:lpstr>
      <vt:lpstr>Note</vt:lpstr>
      <vt:lpstr>'Cable Snake'!Print_Area</vt:lpstr>
      <vt:lpstr>HAD!Print_Area</vt:lpstr>
      <vt:lpstr>Import!Print_Area</vt:lpstr>
      <vt:lpstr>PC!Print_Area</vt:lpstr>
    </vt:vector>
  </TitlesOfParts>
  <Company>AIM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BD 05 || Ergovn</cp:lastModifiedBy>
  <cp:lastPrinted>2023-04-19T05:07:28Z</cp:lastPrinted>
  <dcterms:created xsi:type="dcterms:W3CDTF">2008-02-12T06:57:52Z</dcterms:created>
  <dcterms:modified xsi:type="dcterms:W3CDTF">2026-10-09T04:08:36Z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0x01010032A5431F1FC81047917F9B0CF0A4129C</vt:lpwstr>
  </property>
  <property fmtid="{D5CDD505-2E9C-101B-9397-08002B2CF9AE}" pid="3" name="MediaServiceImageTags">
    <vt:lpwstr/>
  </property>
</Properties>
</file>